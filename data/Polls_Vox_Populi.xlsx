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olga\Documents\repos\SDS-Hungarian-Election-Forecasting-2026-Thesis\data\"/>
    </mc:Choice>
  </mc:AlternateContent>
  <xr:revisionPtr revIDLastSave="0" documentId="13_ncr:1_{6B0047EC-83E3-4969-B1B9-E01347BFA0E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aw" sheetId="1" r:id="rId1"/>
    <sheet name="Clean" sheetId="2" r:id="rId2"/>
  </sheets>
  <definedNames>
    <definedName name="_xlnm._FilterDatabase" localSheetId="1" hidden="1">Clean!$A$1:$Z$56</definedName>
    <definedName name="_xlnm._FilterDatabase" localSheetId="0" hidden="1">Raw!$A$1:$AP$37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62" i="1" l="1"/>
  <c r="AN62" i="1"/>
  <c r="AP62" i="1" s="1"/>
  <c r="AE62" i="1"/>
  <c r="AD62" i="1"/>
  <c r="AO61" i="1"/>
  <c r="AN61" i="1"/>
  <c r="AP61" i="1" s="1"/>
  <c r="AE61" i="1"/>
  <c r="AD61" i="1"/>
  <c r="AO60" i="1"/>
  <c r="AN60" i="1"/>
  <c r="AP60" i="1" s="1"/>
  <c r="AE60" i="1"/>
  <c r="AD60" i="1"/>
  <c r="AO59" i="1"/>
  <c r="AN59" i="1"/>
  <c r="AP59" i="1" s="1"/>
  <c r="AE59" i="1"/>
  <c r="AD59" i="1"/>
  <c r="AO58" i="1"/>
  <c r="AN58" i="1"/>
  <c r="AP58" i="1" s="1"/>
  <c r="AE58" i="1"/>
  <c r="AD58" i="1"/>
  <c r="AO57" i="1"/>
  <c r="AN57" i="1"/>
  <c r="AP57" i="1" s="1"/>
  <c r="AE57" i="1"/>
  <c r="AD57" i="1"/>
  <c r="AO56" i="1" l="1"/>
  <c r="AN56" i="1"/>
  <c r="AE56" i="1"/>
  <c r="AD56" i="1"/>
  <c r="AO55" i="1"/>
  <c r="AN55" i="1"/>
  <c r="AE55" i="1"/>
  <c r="AD55" i="1"/>
  <c r="AO54" i="1"/>
  <c r="AN54" i="1"/>
  <c r="AE54" i="1"/>
  <c r="AD54" i="1"/>
  <c r="AO53" i="1"/>
  <c r="AN53" i="1"/>
  <c r="AE53" i="1"/>
  <c r="AD53" i="1"/>
  <c r="AO52" i="1"/>
  <c r="AN52" i="1"/>
  <c r="AE52" i="1"/>
  <c r="AD52" i="1"/>
  <c r="AO51" i="1" l="1"/>
  <c r="AN51" i="1"/>
  <c r="AE51" i="1"/>
  <c r="AD51" i="1"/>
</calcChain>
</file>

<file path=xl/sharedStrings.xml><?xml version="1.0" encoding="utf-8"?>
<sst xmlns="http://schemas.openxmlformats.org/spreadsheetml/2006/main" count="797" uniqueCount="202">
  <si>
    <t>Adatok.bázisa</t>
  </si>
  <si>
    <t>Kezdet</t>
  </si>
  <si>
    <t>Vég</t>
  </si>
  <si>
    <t>Adatgazda</t>
  </si>
  <si>
    <t>Kalibrált</t>
  </si>
  <si>
    <t>Fókusz</t>
  </si>
  <si>
    <t>Mód</t>
  </si>
  <si>
    <t>Minta</t>
  </si>
  <si>
    <t>Fidesz</t>
  </si>
  <si>
    <t>MSZP</t>
  </si>
  <si>
    <t>Jobbik</t>
  </si>
  <si>
    <t>LMP</t>
  </si>
  <si>
    <t>DK</t>
  </si>
  <si>
    <t>Együtt</t>
  </si>
  <si>
    <t>P</t>
  </si>
  <si>
    <t>MM</t>
  </si>
  <si>
    <t>DK-MSZP-P</t>
  </si>
  <si>
    <t>MSZP-P</t>
  </si>
  <si>
    <t>MMN</t>
  </si>
  <si>
    <t>NP</t>
  </si>
  <si>
    <t>EM</t>
  </si>
  <si>
    <t>MKKP</t>
  </si>
  <si>
    <t>MH</t>
  </si>
  <si>
    <t>TISZA</t>
  </si>
  <si>
    <t>Egyéb párt</t>
  </si>
  <si>
    <t>Egyéb válasz</t>
  </si>
  <si>
    <t>alpha</t>
  </si>
  <si>
    <t>Summa</t>
  </si>
  <si>
    <t>Biztos szavazó</t>
  </si>
  <si>
    <t>FFALU</t>
  </si>
  <si>
    <t>O1GBP</t>
  </si>
  <si>
    <t>Megrendelő</t>
  </si>
  <si>
    <t>Forrás 1</t>
  </si>
  <si>
    <t>Forrás 2</t>
  </si>
  <si>
    <t>Forrás 3</t>
  </si>
  <si>
    <t>Megjegyzések</t>
  </si>
  <si>
    <t>UnixStart</t>
  </si>
  <si>
    <t>UnixEnd</t>
  </si>
  <si>
    <t>UnixTime</t>
  </si>
  <si>
    <t>Biztos</t>
  </si>
  <si>
    <t>Nézőpont</t>
  </si>
  <si>
    <t>Telefonos</t>
  </si>
  <si>
    <t>A forrás nem nevezi meg.</t>
  </si>
  <si>
    <t>Választás</t>
  </si>
  <si>
    <t>1</t>
  </si>
  <si>
    <t>Személyes</t>
  </si>
  <si>
    <t>https://nezopontintezet.hu/2018/03/28/valtozatlanul-vezet-a-fidesz-a-kampany-veghajrajaban/</t>
  </si>
  <si>
    <t>http://www.atv.hu/belfold/20180328-nezopont-a-fidesz-50-szazalek-felett-a-jobbik-elmarad-a-14-es-eredmenyetol</t>
  </si>
  <si>
    <t>https://nezopontintezet.hu/wp-content/uploads/2018/03/Nezopont_Intezet_kutatas20180328.png</t>
  </si>
  <si>
    <t>A bizarrul különböző számsorokon kívül csak az jelzi, hogy imputációt alkalmaztak, hogy az ábra aláírása "a választási részvételüket biztosra igérők potenciális pártválasztása"-t emleget.</t>
  </si>
  <si>
    <t>Medián</t>
  </si>
  <si>
    <t>https://m.hvg.hu/360/hetilap360/2018/14/20181405magyar3 EREDETILEG https://hvg.hu/itthon/201814__medianfelmeres__erosodo_fidesz__nepszeru_kormany__rejtozo_ketharmad</t>
  </si>
  <si>
    <t>https://m.hvg.hu/360/hetilap360/2018/14/20181405magyar3</t>
  </si>
  <si>
    <t>https://web.archive.org/web/20180406141749/https://hvg.hu/itthon/201814__medianfelmeres__erosodo_fidesz__nepszeru_kormany__rejtozo_ketharmad</t>
  </si>
  <si>
    <t>ZRI</t>
  </si>
  <si>
    <t>https://web.archive.org/web/20180406200502/https://index.hu/belfold/2018/valasztas/2018/04/06/65_koruli_reszvetelt_40_feletti_fideszt_mer_a_zri/</t>
  </si>
  <si>
    <t>https://index.hu/belfold/2018/valasztas/2018/04/06/65_koruli_reszvetelt_40_feletti_fideszt_mer_a_zri/</t>
  </si>
  <si>
    <t>Az egyéb párt 1%-a csak az én feltételezésem, a források nem említik.</t>
  </si>
  <si>
    <t>A ZRI oldalon nem szerepel, és az index.hu sem világos a forrás tekintetében: "A ZRI Závecz Research Intézet az elmúlt egy hétben végzett felmérésében a választópolgárok 59 százaléka jelezte, hogy biztosan részt vesz a vasárnapi parlamenti választáson. A korábbi választásokat közvetlenül megelőző mérések és valóságos részvételi arányok összevetéséből azt feltételezik, hogy április 8-án 64-68 százalék közötti arányban mennek el az emberek voksolni. Ebben a felmérésben a biztos szavazó pártválasztók körében a következő eredmények születtek: ...." Több más média is az index cikk alapján számolt be a kutatásról, de pl. https://pcblog.atlatszo.hu/2018/04/06/igy-josoltak-a-kozvelemeny-kutatok-a-korabbi-valasztasok-elott/ a szakértői becslést idézi csak fel, a kutatásokra vonatkozó táblázatába nem veszi fel. A https://web.archive.org/web/20180412202217/https://kozvelemenykutatok.hu/#2 oldalon sem szerepel.</t>
  </si>
  <si>
    <t>Századvég</t>
  </si>
  <si>
    <t>https://web.archive.org/web/20200723061910/https://szazadveg.hu/hu/kutatasok/az-alapitvany-kutatasai/piackutatas-kozvelemeny-kutatas/fordulat-a-partok-versenyeben-az-mszp-megelozte-a-jobbikot   EREDETILEG https://szazadveg.hu/hu/kutatasok/az-alapitvany-ku</t>
  </si>
  <si>
    <t>https://www.origo.hu/itthon/valasztas2018/20180403-fidesz-kdnp-felmeres-szazadveg.html</t>
  </si>
  <si>
    <t>https://regi.szazadveg.hu/hu/kutatasok/az-alapitvany-kutatasai/piackutatas-kozvelemeny-kutatas/fordulat-a-partok-versenyeben-az-mszp-megelozte-a-jobbikot</t>
  </si>
  <si>
    <t>https://web.archive.org/web/20140407074516/http://nezopontintezet.hu/aktualis/partpreferenciak-a-valasztas-elott/</t>
  </si>
  <si>
    <t>https://web.archive.org/web/20140409095427/http://kozvelemenykutatok.hu/partpreferenciak-a-valasztas-elott-nezopont/</t>
  </si>
  <si>
    <t>"A várható választási eredményhez legközelebb eső mérés, tehát a potenciális támogatottsági adatok alapján ..."</t>
  </si>
  <si>
    <t>https://web.archive.org/web/20140405143530/http://kozvelemenykutatok.hu/stabil-fidesz-kdnp-elony-a-kampany-hajrajaban-szazadveg/</t>
  </si>
  <si>
    <t>https://web.archive.org/web/20230329152621/https://kozvelemenykutatok.hu/valasztas-2014-ertekeles/</t>
  </si>
  <si>
    <t>https://hvg.hu/itthon/201414_rejt_a_palya</t>
  </si>
  <si>
    <t>https://web.archive.org/web/20140409095352/http://kozvelemenykutatok.hu/csak-a-fidesz-ketharmada-a-kerdes-median/</t>
  </si>
  <si>
    <t>National</t>
  </si>
  <si>
    <t>EP</t>
  </si>
  <si>
    <t>https://nezopont.hu/a-fidesz-kdnp-nyerte-a-valasztast/  EREDETILEG https://nezopontintezet.hu/2019/05/26/a-fidesz-kdnp-nyerte-a-valasztast/</t>
  </si>
  <si>
    <t>Nem világos, hogy biztos szavazó pártválasztókra vagy valami másra vonatkozik a számsor</t>
  </si>
  <si>
    <t>Publicus</t>
  </si>
  <si>
    <t>https://publicus.hu/blog/partok-ep-es-orszaggyulesi-tamogatottsaga-2019-majus/</t>
  </si>
  <si>
    <t>HVG nyomtatott kiadása</t>
  </si>
  <si>
    <t>https://hvg.hu/itthon/201921_mozdulnake</t>
  </si>
  <si>
    <t>https://nezopont.hu/a-fidesz-kdnp-nyerhet-majus-26-an-a-masodik-helyezett-kilete-kerdeses/</t>
  </si>
  <si>
    <t>https://archiv.nezopont.hu/a-fidesz-kdnp-nyerhet-majus-26-an-a-masodik-helyezett-kilete-kerdeses/</t>
  </si>
  <si>
    <t>A posztból úgy tűnik, hogy ezt  egy közvélemény-kutatói konferencián adta elő a a Századvég képviselője. Nem világos, hogy mi a köze ennek a számsornak a sajtóban publikálthoz, és hogy biztos szavazó pártválasztókra vagy valami másra vonatkozik a számsor.</t>
  </si>
  <si>
    <t>http://www.zaveczresearch.hu/szoros-versenyben-a-jobbik-az-mszp-es-a-dk/</t>
  </si>
  <si>
    <t>https://hvg.hu/itthon/20190516_Ugyanannyi_kepviseloje_lehet_a_Jobbiknak_MSZPnek_es_DKnak_is_az_Epben</t>
  </si>
  <si>
    <t>"márciusban 38, áprilisban 43, májusban 45 százalék volt azok aránya, akik egy mostani választáson magukat biztos részt vevőnek tekintették és rendelkeznek pártpreferenciával is" irja a ZRI honlap</t>
  </si>
  <si>
    <t>Iránytű</t>
  </si>
  <si>
    <t>http://iranytuintezet.hu/elemzesek-kutatasok/mind/237-partpreferenciak-alakulasa-az-europai-parlamenti-valasztas-elott/</t>
  </si>
  <si>
    <t>https://alfahir.hu/2019/05/14/jobbik_ep_valasztas_2019_iranytu_intezet</t>
  </si>
  <si>
    <t>MSZP 7%, Párbeszéd 2%</t>
  </si>
  <si>
    <t>IDEA</t>
  </si>
  <si>
    <t>Online</t>
  </si>
  <si>
    <t>http://www.ideaintezet.hu/hu/hirek-aktualis/17 EREDETILEG: http://www.ideaintezet.hu/hirek-aktualis/17/erosodo-fidesz-----kdnp-es-lmp---momentum-libikoka</t>
  </si>
  <si>
    <t>https://kozvelemeny.org/2024/05/20/a-2018-as-valasztasi-kozvelemeny-kutatasokrol-fennmaradt-szornyu-kudarc-emleket-egyaltalan-nem-tamasztja-ala-az-adatok-korrekt-elemzese/</t>
  </si>
  <si>
    <t>Ellenzék közösen indul</t>
  </si>
  <si>
    <t>https://publicus.hu/blog/partok-tamogatottsaga-2022-marcius-vege/</t>
  </si>
  <si>
    <t>A források nem nevezik meg.</t>
  </si>
  <si>
    <t>http://ideaintezet.hu/hu/hirek-aktualis/82/zarult--de-nem-csukodott-be-az-fidesz---ellenzek-ollo---2022--marcius-vege</t>
  </si>
  <si>
    <t>https://szazadveg.hu/hu/2022/03/31/fidesz-kdnp-49-szazalek-ellenzeki-osszefogas-44-szazalek~n2637</t>
  </si>
  <si>
    <t>https://web.archive.org/web/20220412161015/https://szazadveg.hu/hu/kozvelemeny-kutatasok</t>
  </si>
  <si>
    <t>https://magyarnemzet.hu/belfold/2022/03/nezopont-a-fideszkdnp-47-az-egyesult-baloldal-42-szazalekon-all-a-valasztasok-elott-egy-hettel</t>
  </si>
  <si>
    <t>„A belpolitikai adatok tekintetében a Századvég 49 százalékos Fidesz–KDNP győzelmet becsült, az ellenzéki összefogásnak 44 százalékot jósolt. A Kétfarkú Kutya Párt és a Mi Hazánk 3 százalékot, a Megoldás Mozgalom és Normális Élet Pártja 1 százalékot kapna.”</t>
  </si>
  <si>
    <t>Összes</t>
  </si>
  <si>
    <t>RTL Klub</t>
  </si>
  <si>
    <t>https://www.youtube.com/watch?v=vs-l_en9Q30</t>
  </si>
  <si>
    <t>https://rtl.hu/valasztas-2022/2022/04/03/median-felmeres-fidesz-gyozelem-ketharmad</t>
  </si>
  <si>
    <t>https://www.portfolio.hu/gazdasag/20220403/itt-a-median-utolso-felmerese-a-fidesz-nyerhette-a-valasztast-537285</t>
  </si>
  <si>
    <t>https://24.hu/belfold/2022/03/29/fidesz-kozos-ellenzek-zavecz-kozvelemeny-kutatas-biztos-szavazok/</t>
  </si>
  <si>
    <t>https://telex.hu/valasztas-2022/2022/03/29/zavecz-kozvelemenykutatas-utolso-meres</t>
  </si>
  <si>
    <t>A terepmunka utolsó napja márc 27, amit csak azért javítottam 26-ra, hogy ne mosódjon össze a márc 23-25-i telefonos (IVR?) kutatással.</t>
  </si>
  <si>
    <t>https://archiv.nezopont.hu/a-nezopont-intezet-valasztasok-elotti-utolso-nyilvanos-meresi-eredmenye/</t>
  </si>
  <si>
    <t>https://mandiner.hu/cikk/20220328_kozvelemeny_kutatok_fidesz_elony_valasztas_elotti_meresek</t>
  </si>
  <si>
    <t>Korábbi posztban "baloldali közös lista" megnevezéssel irta le az ellenzéki közös listát. Az "egyéb párt" a Megoldás Mozgalom. A mandiner szerint "Nagy Dániel, a Nézőpont Intézet közvélemény-kutatási igazgatója közölte: felméréseik alapján a legvalószínűbb listás eredményeket tekintve a Fidesz 47, míg az ellenzék 42 százalékon áll." Az utóbb a Nézőpont oldalán megjelent pontosabb poszt szerint " az „ingázó”, pártot nem választó, de magukat aktívnak mondó szavazók aránya 4 százalék"</t>
  </si>
  <si>
    <t>EU</t>
  </si>
  <si>
    <t>Népszava</t>
  </si>
  <si>
    <t>https://publicus.hu/blog/ep-fidesz-kdnp-43-tisza-25-dk-mszp-parbeszed-15/</t>
  </si>
  <si>
    <t>https://nepszava.hu/3238154_onkormanyzati-valasztas-ep-valasztas-publicus-felmeres-partpreferencia</t>
  </si>
  <si>
    <t>VP: https://www.facebook.com/valasztasi.kalauz/posts/pfbid03193fB9qLzSFkQDpdtMFQNrLQniXJgNV6jAFPb9PAnLgcCK8DfA4dcpbFx45soS3l</t>
  </si>
  <si>
    <t>HVG</t>
  </si>
  <si>
    <t>https://hvg.hu/itthon/20240607_median-az-europai-parlamenti-valasztas-biztos-magyarorszagi-gyoztese-a-fidesz-kdnp</t>
  </si>
  <si>
    <t>https://24.hu/belfold/2024/06/07/median-felmeres-kozvelemeny-kutatas-ep-valasztas/</t>
  </si>
  <si>
    <t>https://www.facebook.com/median.hu/posts/pfbid0xvh8KtJCEj9PZnW8wN8RM18MFYDWkPhTYAUL1MoLW3D7bFpvxAMZzsywtcXuSvBal</t>
  </si>
  <si>
    <t xml:space="preserve">VP: </t>
  </si>
  <si>
    <t>https://telex.hu/belfold/2024/06/04/zavecz-kutatas-ep-valasztas-fidesz-tisza-part-dk-tamogatottsaga</t>
  </si>
  <si>
    <t>https://24.hu/belfold/2024/06/04/zavecz-fidesz-45-tisza-27-dk-mszp-parbeszed-11-szazalek/#</t>
  </si>
  <si>
    <t>VP: https://www.facebook.com/valasztasi.kalauz/posts/pfbid02thBia8CGUTYHrQtypbKP9ZMc4XVtoBViCLqynFrUgca96vKpKKmWw5phPEhvg36Jl</t>
  </si>
  <si>
    <t>Real-PR 93</t>
  </si>
  <si>
    <t>https://nezopont.hu/merre-tovabb-europa-kozvelemeny-kutatoi-konferencia-az-europai-parlamenti-valasztasokrol/</t>
  </si>
  <si>
    <t>https://partpreferencia.hu</t>
  </si>
  <si>
    <t>https://www.facebook.com/realpr93/posts/pfbid02EBBTJwVti2sx99zQNiZtZH95WUCdpmUtY22Wtc3Vi7LSoaXQrREzqRu96b7mpv3ol</t>
  </si>
  <si>
    <t>VP: https://www.facebook.com/valasztasi.kalauz/posts/pfbid0rvXVbRogCYULEMrh9TAu5gcVxzogs291GyU6hALyJs6VtiUvAt6BA1ASJTXLbt2ml  Az egyéb párt a Megoldás Mozgalom.</t>
  </si>
  <si>
    <t>https://kozvelemeny.org/2024/05/27/miert-tevedtek-akkorat-a-valasztasi-kozvelemeny-kutatasok-2022-tavaszan-es-mi-varhato-ez-alapjan-2024-ben/</t>
  </si>
  <si>
    <t>https://24.hu/belfold/2024/06/05/idea-intezet-valasztas-partpreferencia-kutatas-fidesz-tisza/</t>
  </si>
  <si>
    <t>https://www.facebook.com/photo/?fbid=777897661091549&amp;set=a.508321001382551</t>
  </si>
  <si>
    <t>http://www.ideaintezet.hu/hu/hirek-aktualis/122/ep-valasztas--a-fidesz-kdnp-40-szazalek-felett--a-tisza-part-jelentosen-lemaradva-a-masodik</t>
  </si>
  <si>
    <t>Társadalomkutató</t>
  </si>
  <si>
    <t>https://www.origo.hu/itthon/2024/05/nezopont-fidesz-ep-valasztas-haboru-es-beke?fbclid=IwZXh0bgNhZW0CMTAAAR00Wn1s5xvHtFUg5J4dyqJus26ViL8dZYi7jpUz6PPKcaIeDTYlu2xWGQE_aem_ASWX_shUBYFmwNHCfnI93M-a01X84NF0J3KQu9wH1-Nif1WvskOP9q-rh1EKoNSFSPlCjix0Xz__vq2J1LT675kS</t>
  </si>
  <si>
    <t>Kapcsolódó poszt: https://nezopont.hu/elindult-a-kozvelemeny-kutatasokat-osszehasonlito-partpreferencia-hu/</t>
  </si>
  <si>
    <t>https://mandiner.hu/belfold/2024/05/igy-alakulhatnak-a-mandatumok-az-ep-valasztason</t>
  </si>
  <si>
    <t>VP:  https://www.facebook.com/valasztasi.kalauz/posts/pfbid0rvXVbRogCYULEMrh9TAu5gcVxzogs291GyU6hALyJs6VtiUvAt6BA1ASJTXLbt2ml Az egyéb párt a Megoldás Mozgalom.</t>
  </si>
  <si>
    <t>Alapjogokért Központ</t>
  </si>
  <si>
    <t>https://www.origo.hu/itthon/2024/05/nezopont-fidesz-ep-valasztas-haboru-es-beke</t>
  </si>
  <si>
    <t>VP: https://www.facebook.com/valasztasi.kalauz/posts/pfbid0rvXVbRogCYULEMrh9TAu5gcVxzogs291GyU6hALyJs6VtiUvAt6BA1ASJTXLbt2ml   Az egyéb párt a Megoldás Mozgalom.</t>
  </si>
  <si>
    <t>Republikon</t>
  </si>
  <si>
    <t>"A projekt az Európai Unió társfinanszírozásával, az Európai Parlament kommunikáció területére vonatkozó támogatási programja keretében valósult meg."</t>
  </si>
  <si>
    <t>http://republikon.hu/elemzesek,-kutatasok/24-05-03_kvk-aprilis.aspx</t>
  </si>
  <si>
    <t>https://telex.hu/belfold/2024/05/03/republikon-fidesz-tisza-part-dk-ep-valasztas</t>
  </si>
  <si>
    <t xml:space="preserve">VP: https://www.facebook.com/valasztasi.kalauz/posts/pfbid02sJu3wHbgrq4V7Chtks3cam24kzRyiVjp2qpMGhZGmu4hxnPNM9SUuGR7vtjWWB2ul Az egyéb pártból 1% Szocialisták és Demokraták. </t>
  </si>
  <si>
    <t>http://iranytuintezet.hu/elemzesek-kutatasok/mind/259-kik-a-tisza-part-szavazoi---az-iranytu-intezet-orszagos-kozvelemeny-kutatasa/</t>
  </si>
  <si>
    <t>https://telex.hu/belfold/2024/04/24/iranytu-intezet-kutatas-tisza-part-szavazok-kik-azok-ellenzek-fidesz</t>
  </si>
  <si>
    <t>https://www.facebook.com/peter.magyar.102/posts/pfbid02UFBHJkXyM4DCeNCuyYhcLm63Rvd63NHpCsmLFiaJy24UzQp4taDrvrpGt9HTqftjl?comment_id=1113834303204848&amp;reply_comment_id=719983253394882&amp;notif_id=1713808890521622&amp;notif_t=comment_mention&amp;ref=notif</t>
  </si>
  <si>
    <t>https://kozvelemeny.org/2024/05/17/a-2019-majusi-europai-valasztasok-elott-megjelent-valasztasi-kozvelemeny-kutatasok-pontatlansagai-tanulsagok-2024-re/</t>
  </si>
  <si>
    <t>Type</t>
  </si>
  <si>
    <t>Source: https://drive.google.com/drive/folders/1IVTl_cXGcOfDf8vt03MrwDsNa41Xb8a0</t>
  </si>
  <si>
    <t>If not suggested otherwise.</t>
  </si>
  <si>
    <t>Source</t>
  </si>
  <si>
    <t>Other</t>
  </si>
  <si>
    <t>Századvég/McLaughlin</t>
  </si>
  <si>
    <t xml:space="preserve"> </t>
  </si>
  <si>
    <t>https://index.hu/belfold/2026/02/06/valasztas-kozvelemeny-kutatas-amerika-felmeres-fidesz-tisza-part-orban-viktor-magyar-peter/</t>
  </si>
  <si>
    <t>VP: https://www.facebook.com/valasztasi.kalauz/posts/pfbid02bRm32oYaDguF1QNyQCL8VhHqRyntfySMxfxzmVFBJehtEuinXeCCsRdcPjQX3gNFl és https://www.facebook.com/valasztasi.kalauz/posts/pfbid02tTTSYy1QEYc6aD7KizsoxHE67aAy1jhQF663fFp1n9JFb8wXkr4W5L3BwdULq8XFl</t>
  </si>
  <si>
    <t>Hibrid</t>
  </si>
  <si>
    <t>https://24.hu/belfold/2026/03/03/zavecz-kutatasa-februar/</t>
  </si>
  <si>
    <t>https://hvg.hu/itthon/20260303_zavecz-kozvelemeny-kutatas-tisza-part-fidesz-orszaggyulesi-valasztas</t>
  </si>
  <si>
    <t>https://telex.hu/belfold/2026/03/03/zavecz-kozvelemeny-kutatas-tisza-part-fidesz-50-38</t>
  </si>
  <si>
    <t>https://nezopont.hu/hu/tevekenysegeink/kozvelemeny-kutatasok/tovabbra-is-egyertelmu-a-fidesz-elony</t>
  </si>
  <si>
    <t>https://www.facebook.com/nezopontintezet/posts/pfbid02EqDTZfrhKHkXrMbu6LGG15pz3fKXdScd4cZeLnFWKHTcE4LszvYsUfP2VfyKm5G7l</t>
  </si>
  <si>
    <t>https://hvg.hu/360/20260225_median-vezet-tisza-mar-20-szazalek-az-elonye</t>
  </si>
  <si>
    <t>https://telex.hu/belfold/2026/02/25/median-kutatas-tisza-part-fidesz-55-35</t>
  </si>
  <si>
    <t>https://444.hu/2026/02/25/median-mar-20-szazalekpont-a-tisza-elonye-a-biztos-szavazok-kozott</t>
  </si>
  <si>
    <t>https://republikon.hu/elemzesek,-kutatasok/260218_kvk-februar.aspx</t>
  </si>
  <si>
    <t>https://telex.hu/belfold/2026/02/19/republikon-intezet-februar-kozvelemeny-kutatas-partpreferencia-negyparti-parlament-tisza-part-vezet</t>
  </si>
  <si>
    <t>https://publicus.hu/blog/partok-tamogatottsaga-2026-februar-eleje/</t>
  </si>
  <si>
    <t>https://nezopont.hu/hu/tevekenysegeink/kozvelemeny-kutatasok/valtozatlan-fidesz-elony</t>
  </si>
  <si>
    <t>https://www.facebook.com/nezopontintezet/posts/pfbid02gt2YQuagheNEVnrzr6aVj8mCoXkbCY7bwVfNUqT2F1xBn8UfR9xaFYCbj5Z2ssaal</t>
  </si>
  <si>
    <t>VP: https://www.facebook.com/valasztasi.kalauz/posts/pfbid0T4rgyJRshdEBvk2cmaYwyVfgVASsc1PPo1YZF1xCVANzz2HeGmhAFzoAYAAjM94jl</t>
  </si>
  <si>
    <t>https://iranytuintezet.hu/wp-content/uploads/2026/02/2026.02_Iranytu_orszagos_kutatas.pdf</t>
  </si>
  <si>
    <t>https://nepszava.hu/3312324_fidesz-tisza-part-valasztas-2026-iranytu-gyozelem-intezet-felmeres</t>
  </si>
  <si>
    <t>https://www.facebook.com/iranytuintezet/posts/pfbid0pin1GdMnq22RqyPmw4APsvdBmnsSbN8FsFbYYNdkKaNfu4XSq9UbQoNBjer1aVQpl</t>
  </si>
  <si>
    <t>https://www.facebook.com/ideaintezet/posts/pfbid07XFp2Ne9PDdgGU1WoMmeHp272NDMTKZ2zYmZnN9UrDwuHgXG74veqhErvzSu7HTGl</t>
  </si>
  <si>
    <t>https://telex.hu/belfold/2026/02/13/idea-tisza-elony-kormanypart-mi-hazank-dk</t>
  </si>
  <si>
    <t>https://24.hu/belfold/2026/02/13/partok-kutatas-idea-intezet-2026-februar/</t>
  </si>
  <si>
    <t>VP: https://www.facebook.com/valasztasi.kalauz/posts/pfbid031BS9oLtsmhkP4wfS5DEWCHuw4iwc69R8nmW7mj9mXbhRSayZtuo9ozTYskgDtvcbl (-szm- munkája, alatta -tg- kommentje a DK-val kapcsolatban)</t>
  </si>
  <si>
    <t>https://alapjogokert.hu/anyagok/kutatasaink/het-szazalekkal-vezet-a-fidesz-a-tisza-elott</t>
  </si>
  <si>
    <t>XXI. Század Intézet</t>
  </si>
  <si>
    <t>https://24.hu/belfold/2026/03/12/tisza-fidesz-kozvelemeny-kutatas-idea/</t>
  </si>
  <si>
    <t>https://www.facebook.com/photo?fbid=1234565535424757&amp;set=a.508321001382551</t>
  </si>
  <si>
    <t>https://www.xxiszazadintezet.hu/otpontos-fidesz-elony-egy-honappal-a-valasztas-elott/</t>
  </si>
  <si>
    <t>https://hvg.hu/360/20260325_median-tisza-fidesz-valasztas-marcius-kozvelemeny-kutatas</t>
  </si>
  <si>
    <t>https://nezopont.hu/hu/tevekenysegeink/politikai-elemzesek/a-nezopont-realistabb-a-mediannal</t>
  </si>
  <si>
    <t>https://republikon.hu/media/174905/Ri_Havi-elemzes_2603.pdf</t>
  </si>
  <si>
    <t>https://www.facebook.com/republikon/posts/pfbid024WsR9RcSXEiMMih4ofYWTFJR78JQG2ti4M3y9jPHj91goZVDnWdSvaimJiHkQU2al</t>
  </si>
  <si>
    <t>https://index.hu/belfold/2026/03/31/zavecz-research-kozvelemeny-kutatas-partpreferencia-fidesz-tisza-part-valasztas-2026/</t>
  </si>
  <si>
    <t>https://www.xxiszazadintezet.hu/vezet-a-fidesz-akar-negyparti-parlament-is-lehetseges/</t>
  </si>
  <si>
    <t>https://publicus.hu/blog/partok-tamogatottsaga-2026-marcius/</t>
  </si>
  <si>
    <t>https://alapjogokert.hu/anyagok/kutatasaink/a-kampanyfinisben-erosodott-es-elerte-az-50-ot-a-fidesz</t>
  </si>
  <si>
    <t>0,0</t>
  </si>
  <si>
    <t>1,00</t>
  </si>
  <si>
    <t>100,00</t>
  </si>
  <si>
    <t>https://www.facebook.com/ideaintezet/posts/pfbid038L2WFbvcK2m3ibD6qz7jxZGeQeoa3wmLynsohFrBUkC3VrcR441wLdogKRgopN3Tl</t>
  </si>
  <si>
    <t>https://telex.hu/belfold/2026/04/09/idea-intezet-partpreferencia-kozvelemeny-kutatas-tisza-part-fidesz</t>
  </si>
  <si>
    <t>https://iranytuintezet.hu/kutatas/az-iranytu-intezet-orszagos-kozvelemeny-kutatasa-2026-marcius-aprilis/</t>
  </si>
  <si>
    <t>https://nepszava.hu/3317917_tisza-part-fidesz-iranytu-intezet-felmeres-ketparti-parlament-kormanyvaltas</t>
  </si>
  <si>
    <t>https://hvg.hu/itthon/20260408_iranytu-intezet-kozvelemeny-kutatas-tisza-part-fidesz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</si>
</sst>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2222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  <charset val="238"/>
      <scheme val="minor"/>
    </font>
    <font>
      <u/>
      <sz val="11"/>
      <color rgb="FF0563C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8CD7"/>
        <bgColor rgb="FFFF66FF"/>
      </patternFill>
    </fill>
    <fill>
      <patternFill patternType="solid">
        <fgColor rgb="FFFF8CD7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EEC983"/>
        <bgColor indexed="64"/>
      </patternFill>
    </fill>
    <fill>
      <patternFill patternType="solid">
        <fgColor rgb="FFFF8CD7"/>
        <bgColor rgb="FF000000"/>
      </patternFill>
    </fill>
    <fill>
      <patternFill patternType="solid">
        <fgColor rgb="FFFFCCCC"/>
        <bgColor rgb="FFFFCCCC"/>
      </patternFill>
    </fill>
    <fill>
      <patternFill patternType="solid">
        <fgColor rgb="FF92D050"/>
        <bgColor indexed="64"/>
      </patternFill>
    </fill>
    <fill>
      <patternFill patternType="solid">
        <fgColor rgb="FFCCFF33"/>
        <bgColor rgb="FFCCFF33"/>
      </patternFill>
    </fill>
    <fill>
      <patternFill patternType="solid">
        <fgColor rgb="FFCCECFF"/>
        <bgColor rgb="FFCCECFF"/>
      </patternFill>
    </fill>
    <fill>
      <patternFill patternType="solid">
        <fgColor rgb="FFBDD6EE"/>
        <bgColor rgb="FFBDD6E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rgb="FFFF66FF"/>
      </patternFill>
    </fill>
    <fill>
      <patternFill patternType="solid">
        <fgColor rgb="FFD6C168"/>
        <bgColor rgb="FFD6C168"/>
      </patternFill>
    </fill>
    <fill>
      <patternFill patternType="solid">
        <fgColor rgb="FFD6C168"/>
        <bgColor rgb="FFE7E6E6"/>
      </patternFill>
    </fill>
    <fill>
      <patternFill patternType="solid">
        <fgColor rgb="FFAEABAB"/>
        <bgColor rgb="FFAEABAB"/>
      </patternFill>
    </fill>
    <fill>
      <patternFill patternType="solid">
        <fgColor rgb="FFAEABAB"/>
        <bgColor rgb="FFE7E6E6"/>
      </patternFill>
    </fill>
    <fill>
      <patternFill patternType="solid">
        <fgColor theme="7" tint="0.79998168889431442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8">
    <xf numFmtId="0" fontId="0" fillId="0" borderId="0" xfId="0"/>
    <xf numFmtId="0" fontId="1" fillId="0" borderId="0" xfId="0" applyFont="1"/>
    <xf numFmtId="49" fontId="2" fillId="2" borderId="0" xfId="0" applyNumberFormat="1" applyFont="1" applyFill="1" applyAlignment="1">
      <alignment horizontal="left"/>
    </xf>
    <xf numFmtId="14" fontId="2" fillId="2" borderId="0" xfId="0" applyNumberFormat="1" applyFont="1" applyFill="1"/>
    <xf numFmtId="49" fontId="2" fillId="2" borderId="0" xfId="0" applyNumberFormat="1" applyFont="1" applyFill="1"/>
    <xf numFmtId="1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/>
    <xf numFmtId="2" fontId="2" fillId="2" borderId="0" xfId="0" applyNumberFormat="1" applyFont="1" applyFill="1"/>
    <xf numFmtId="1" fontId="2" fillId="2" borderId="0" xfId="0" applyNumberFormat="1" applyFont="1" applyFill="1"/>
    <xf numFmtId="49" fontId="5" fillId="2" borderId="0" xfId="0" applyNumberFormat="1" applyFont="1" applyFill="1"/>
    <xf numFmtId="49" fontId="2" fillId="3" borderId="0" xfId="0" applyNumberFormat="1" applyFont="1" applyFill="1" applyAlignment="1">
      <alignment horizontal="left"/>
    </xf>
    <xf numFmtId="14" fontId="2" fillId="3" borderId="0" xfId="0" applyNumberFormat="1" applyFont="1" applyFill="1"/>
    <xf numFmtId="49" fontId="2" fillId="3" borderId="0" xfId="0" applyNumberFormat="1" applyFont="1" applyFill="1"/>
    <xf numFmtId="1" fontId="2" fillId="3" borderId="0" xfId="0" applyNumberFormat="1" applyFont="1" applyFill="1" applyAlignment="1">
      <alignment horizontal="right"/>
    </xf>
    <xf numFmtId="1" fontId="6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vertical="center"/>
    </xf>
    <xf numFmtId="164" fontId="2" fillId="3" borderId="0" xfId="0" applyNumberFormat="1" applyFont="1" applyFill="1"/>
    <xf numFmtId="2" fontId="2" fillId="3" borderId="0" xfId="0" applyNumberFormat="1" applyFont="1" applyFill="1"/>
    <xf numFmtId="1" fontId="2" fillId="3" borderId="0" xfId="0" applyNumberFormat="1" applyFont="1" applyFill="1"/>
    <xf numFmtId="49" fontId="5" fillId="3" borderId="0" xfId="0" applyNumberFormat="1" applyFont="1" applyFill="1"/>
    <xf numFmtId="49" fontId="2" fillId="5" borderId="0" xfId="0" applyNumberFormat="1" applyFont="1" applyFill="1" applyAlignment="1">
      <alignment horizontal="left"/>
    </xf>
    <xf numFmtId="14" fontId="7" fillId="5" borderId="0" xfId="0" applyNumberFormat="1" applyFont="1" applyFill="1"/>
    <xf numFmtId="49" fontId="2" fillId="5" borderId="0" xfId="0" applyNumberFormat="1" applyFont="1" applyFill="1"/>
    <xf numFmtId="1" fontId="2" fillId="5" borderId="0" xfId="0" applyNumberFormat="1" applyFont="1" applyFill="1" applyAlignment="1">
      <alignment horizontal="right"/>
    </xf>
    <xf numFmtId="49" fontId="7" fillId="5" borderId="0" xfId="0" applyNumberFormat="1" applyFont="1" applyFill="1"/>
    <xf numFmtId="1" fontId="7" fillId="5" borderId="0" xfId="0" applyNumberFormat="1" applyFont="1" applyFill="1" applyAlignment="1">
      <alignment horizontal="right" vertical="center"/>
    </xf>
    <xf numFmtId="164" fontId="2" fillId="5" borderId="0" xfId="0" applyNumberFormat="1" applyFont="1" applyFill="1"/>
    <xf numFmtId="164" fontId="7" fillId="5" borderId="0" xfId="0" applyNumberFormat="1" applyFont="1" applyFill="1"/>
    <xf numFmtId="2" fontId="2" fillId="5" borderId="0" xfId="0" applyNumberFormat="1" applyFont="1" applyFill="1"/>
    <xf numFmtId="1" fontId="2" fillId="5" borderId="0" xfId="0" applyNumberFormat="1" applyFont="1" applyFill="1"/>
    <xf numFmtId="49" fontId="4" fillId="5" borderId="0" xfId="1" applyNumberFormat="1" applyFill="1" applyBorder="1"/>
    <xf numFmtId="49" fontId="5" fillId="5" borderId="0" xfId="0" applyNumberFormat="1" applyFont="1" applyFill="1"/>
    <xf numFmtId="49" fontId="2" fillId="6" borderId="0" xfId="0" applyNumberFormat="1" applyFont="1" applyFill="1" applyAlignment="1">
      <alignment horizontal="left"/>
    </xf>
    <xf numFmtId="14" fontId="6" fillId="6" borderId="0" xfId="0" applyNumberFormat="1" applyFont="1" applyFill="1" applyAlignment="1">
      <alignment vertical="center"/>
    </xf>
    <xf numFmtId="49" fontId="2" fillId="6" borderId="0" xfId="0" applyNumberFormat="1" applyFont="1" applyFill="1"/>
    <xf numFmtId="1" fontId="2" fillId="6" borderId="0" xfId="0" applyNumberFormat="1" applyFont="1" applyFill="1" applyAlignment="1">
      <alignment horizontal="right"/>
    </xf>
    <xf numFmtId="1" fontId="6" fillId="6" borderId="0" xfId="0" applyNumberFormat="1" applyFont="1" applyFill="1" applyAlignment="1">
      <alignment horizontal="right" vertical="center"/>
    </xf>
    <xf numFmtId="164" fontId="2" fillId="6" borderId="0" xfId="0" applyNumberFormat="1" applyFont="1" applyFill="1"/>
    <xf numFmtId="2" fontId="2" fillId="6" borderId="0" xfId="0" applyNumberFormat="1" applyFont="1" applyFill="1"/>
    <xf numFmtId="1" fontId="2" fillId="6" borderId="0" xfId="0" applyNumberFormat="1" applyFont="1" applyFill="1"/>
    <xf numFmtId="49" fontId="5" fillId="6" borderId="0" xfId="0" applyNumberFormat="1" applyFont="1" applyFill="1"/>
    <xf numFmtId="0" fontId="3" fillId="7" borderId="0" xfId="0" applyFont="1" applyFill="1" applyAlignment="1">
      <alignment vertical="center"/>
    </xf>
    <xf numFmtId="14" fontId="8" fillId="7" borderId="0" xfId="0" applyNumberFormat="1" applyFont="1" applyFill="1"/>
    <xf numFmtId="0" fontId="0" fillId="7" borderId="0" xfId="0" applyFill="1"/>
    <xf numFmtId="1" fontId="1" fillId="7" borderId="0" xfId="0" applyNumberFormat="1" applyFont="1" applyFill="1" applyAlignment="1">
      <alignment horizontal="right"/>
    </xf>
    <xf numFmtId="0" fontId="1" fillId="7" borderId="0" xfId="0" applyFont="1" applyFill="1"/>
    <xf numFmtId="0" fontId="8" fillId="7" borderId="0" xfId="0" applyFont="1" applyFill="1"/>
    <xf numFmtId="0" fontId="1" fillId="7" borderId="0" xfId="0" applyFont="1" applyFill="1" applyAlignment="1">
      <alignment horizontal="right"/>
    </xf>
    <xf numFmtId="164" fontId="3" fillId="7" borderId="0" xfId="0" applyNumberFormat="1" applyFont="1" applyFill="1" applyAlignment="1">
      <alignment vertical="center" wrapText="1"/>
    </xf>
    <xf numFmtId="164" fontId="1" fillId="7" borderId="0" xfId="0" applyNumberFormat="1" applyFont="1" applyFill="1"/>
    <xf numFmtId="164" fontId="8" fillId="7" borderId="0" xfId="0" applyNumberFormat="1" applyFont="1" applyFill="1"/>
    <xf numFmtId="2" fontId="2" fillId="7" borderId="0" xfId="0" applyNumberFormat="1" applyFont="1" applyFill="1"/>
    <xf numFmtId="1" fontId="1" fillId="7" borderId="0" xfId="0" applyNumberFormat="1" applyFont="1" applyFill="1"/>
    <xf numFmtId="0" fontId="4" fillId="7" borderId="0" xfId="1" applyFill="1" applyBorder="1"/>
    <xf numFmtId="1" fontId="2" fillId="7" borderId="0" xfId="0" applyNumberFormat="1" applyFont="1" applyFill="1"/>
    <xf numFmtId="0" fontId="3" fillId="8" borderId="0" xfId="0" applyFont="1" applyFill="1" applyAlignment="1">
      <alignment vertical="center"/>
    </xf>
    <xf numFmtId="14" fontId="9" fillId="8" borderId="0" xfId="0" applyNumberFormat="1" applyFont="1" applyFill="1"/>
    <xf numFmtId="0" fontId="9" fillId="8" borderId="0" xfId="0" applyFont="1" applyFill="1"/>
    <xf numFmtId="1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164" fontId="3" fillId="8" borderId="0" xfId="0" applyNumberFormat="1" applyFont="1" applyFill="1" applyAlignment="1">
      <alignment vertical="center" wrapText="1"/>
    </xf>
    <xf numFmtId="164" fontId="9" fillId="8" borderId="0" xfId="0" applyNumberFormat="1" applyFont="1" applyFill="1"/>
    <xf numFmtId="164" fontId="8" fillId="8" borderId="0" xfId="0" applyNumberFormat="1" applyFont="1" applyFill="1"/>
    <xf numFmtId="2" fontId="9" fillId="8" borderId="0" xfId="0" applyNumberFormat="1" applyFont="1" applyFill="1"/>
    <xf numFmtId="1" fontId="9" fillId="8" borderId="0" xfId="0" applyNumberFormat="1" applyFont="1" applyFill="1"/>
    <xf numFmtId="0" fontId="4" fillId="8" borderId="0" xfId="1" applyFill="1"/>
    <xf numFmtId="0" fontId="10" fillId="8" borderId="0" xfId="0" applyFont="1" applyFill="1"/>
    <xf numFmtId="0" fontId="4" fillId="8" borderId="0" xfId="1" applyFill="1" applyBorder="1"/>
    <xf numFmtId="1" fontId="2" fillId="4" borderId="0" xfId="0" applyNumberFormat="1" applyFont="1" applyFill="1"/>
    <xf numFmtId="0" fontId="9" fillId="0" borderId="0" xfId="0" applyFont="1"/>
    <xf numFmtId="49" fontId="2" fillId="9" borderId="0" xfId="0" applyNumberFormat="1" applyFont="1" applyFill="1" applyAlignment="1">
      <alignment horizontal="left"/>
    </xf>
    <xf numFmtId="14" fontId="2" fillId="9" borderId="0" xfId="0" applyNumberFormat="1" applyFont="1" applyFill="1"/>
    <xf numFmtId="49" fontId="2" fillId="9" borderId="0" xfId="0" applyNumberFormat="1" applyFont="1" applyFill="1"/>
    <xf numFmtId="1" fontId="2" fillId="9" borderId="0" xfId="0" applyNumberFormat="1" applyFont="1" applyFill="1" applyAlignment="1">
      <alignment horizontal="right"/>
    </xf>
    <xf numFmtId="164" fontId="2" fillId="9" borderId="0" xfId="0" applyNumberFormat="1" applyFont="1" applyFill="1"/>
    <xf numFmtId="164" fontId="7" fillId="9" borderId="0" xfId="0" applyNumberFormat="1" applyFont="1" applyFill="1"/>
    <xf numFmtId="2" fontId="2" fillId="9" borderId="0" xfId="0" applyNumberFormat="1" applyFont="1" applyFill="1"/>
    <xf numFmtId="1" fontId="2" fillId="9" borderId="0" xfId="0" applyNumberFormat="1" applyFont="1" applyFill="1"/>
    <xf numFmtId="49" fontId="5" fillId="9" borderId="0" xfId="0" applyNumberFormat="1" applyFont="1" applyFill="1"/>
    <xf numFmtId="14" fontId="2" fillId="6" borderId="0" xfId="0" applyNumberFormat="1" applyFont="1" applyFill="1"/>
    <xf numFmtId="164" fontId="7" fillId="6" borderId="0" xfId="0" applyNumberFormat="1" applyFont="1" applyFill="1"/>
    <xf numFmtId="14" fontId="2" fillId="5" borderId="0" xfId="0" applyNumberFormat="1" applyFont="1" applyFill="1"/>
    <xf numFmtId="0" fontId="0" fillId="10" borderId="0" xfId="0" applyFill="1"/>
    <xf numFmtId="49" fontId="2" fillId="11" borderId="0" xfId="0" applyNumberFormat="1" applyFont="1" applyFill="1" applyAlignment="1">
      <alignment horizontal="left"/>
    </xf>
    <xf numFmtId="14" fontId="2" fillId="11" borderId="0" xfId="0" applyNumberFormat="1" applyFont="1" applyFill="1"/>
    <xf numFmtId="49" fontId="2" fillId="11" borderId="0" xfId="0" applyNumberFormat="1" applyFont="1" applyFill="1"/>
    <xf numFmtId="1" fontId="2" fillId="11" borderId="0" xfId="0" applyNumberFormat="1" applyFont="1" applyFill="1" applyAlignment="1">
      <alignment horizontal="right"/>
    </xf>
    <xf numFmtId="164" fontId="2" fillId="11" borderId="0" xfId="0" applyNumberFormat="1" applyFont="1" applyFill="1"/>
    <xf numFmtId="164" fontId="7" fillId="11" borderId="0" xfId="0" applyNumberFormat="1" applyFont="1" applyFill="1"/>
    <xf numFmtId="2" fontId="2" fillId="11" borderId="0" xfId="0" applyNumberFormat="1" applyFont="1" applyFill="1"/>
    <xf numFmtId="1" fontId="2" fillId="11" borderId="0" xfId="0" applyNumberFormat="1" applyFont="1" applyFill="1"/>
    <xf numFmtId="49" fontId="5" fillId="11" borderId="0" xfId="0" applyNumberFormat="1" applyFont="1" applyFill="1"/>
    <xf numFmtId="49" fontId="2" fillId="12" borderId="0" xfId="0" applyNumberFormat="1" applyFont="1" applyFill="1" applyAlignment="1">
      <alignment horizontal="left"/>
    </xf>
    <xf numFmtId="14" fontId="2" fillId="12" borderId="0" xfId="0" applyNumberFormat="1" applyFont="1" applyFill="1"/>
    <xf numFmtId="49" fontId="2" fillId="12" borderId="0" xfId="0" applyNumberFormat="1" applyFont="1" applyFill="1"/>
    <xf numFmtId="1" fontId="2" fillId="12" borderId="0" xfId="0" applyNumberFormat="1" applyFont="1" applyFill="1" applyAlignment="1">
      <alignment horizontal="right"/>
    </xf>
    <xf numFmtId="164" fontId="2" fillId="12" borderId="0" xfId="0" applyNumberFormat="1" applyFont="1" applyFill="1"/>
    <xf numFmtId="164" fontId="7" fillId="12" borderId="0" xfId="0" applyNumberFormat="1" applyFont="1" applyFill="1"/>
    <xf numFmtId="2" fontId="2" fillId="12" borderId="0" xfId="0" applyNumberFormat="1" applyFont="1" applyFill="1"/>
    <xf numFmtId="1" fontId="2" fillId="12" borderId="0" xfId="0" applyNumberFormat="1" applyFont="1" applyFill="1"/>
    <xf numFmtId="0" fontId="2" fillId="13" borderId="0" xfId="0" applyFont="1" applyFill="1"/>
    <xf numFmtId="49" fontId="5" fillId="12" borderId="0" xfId="0" applyNumberFormat="1" applyFont="1" applyFill="1"/>
    <xf numFmtId="2" fontId="2" fillId="0" borderId="0" xfId="0" applyNumberFormat="1" applyFont="1"/>
    <xf numFmtId="0" fontId="0" fillId="14" borderId="0" xfId="0" applyFill="1"/>
    <xf numFmtId="49" fontId="2" fillId="15" borderId="0" xfId="0" applyNumberFormat="1" applyFont="1" applyFill="1" applyAlignment="1">
      <alignment horizontal="left"/>
    </xf>
    <xf numFmtId="14" fontId="6" fillId="15" borderId="0" xfId="0" applyNumberFormat="1" applyFont="1" applyFill="1" applyAlignment="1">
      <alignment vertical="center"/>
    </xf>
    <xf numFmtId="49" fontId="2" fillId="15" borderId="0" xfId="0" applyNumberFormat="1" applyFont="1" applyFill="1"/>
    <xf numFmtId="1" fontId="2" fillId="15" borderId="0" xfId="0" applyNumberFormat="1" applyFont="1" applyFill="1" applyAlignment="1">
      <alignment horizontal="right"/>
    </xf>
    <xf numFmtId="1" fontId="6" fillId="15" borderId="0" xfId="0" applyNumberFormat="1" applyFont="1" applyFill="1" applyAlignment="1">
      <alignment horizontal="right" vertical="center"/>
    </xf>
    <xf numFmtId="164" fontId="2" fillId="15" borderId="0" xfId="0" applyNumberFormat="1" applyFont="1" applyFill="1"/>
    <xf numFmtId="2" fontId="2" fillId="15" borderId="0" xfId="0" applyNumberFormat="1" applyFont="1" applyFill="1"/>
    <xf numFmtId="1" fontId="2" fillId="15" borderId="0" xfId="0" applyNumberFormat="1" applyFont="1" applyFill="1"/>
    <xf numFmtId="49" fontId="5" fillId="15" borderId="0" xfId="0" applyNumberFormat="1" applyFont="1" applyFill="1"/>
    <xf numFmtId="49" fontId="2" fillId="16" borderId="0" xfId="0" applyNumberFormat="1" applyFont="1" applyFill="1" applyAlignment="1">
      <alignment horizontal="left"/>
    </xf>
    <xf numFmtId="14" fontId="6" fillId="16" borderId="0" xfId="0" applyNumberFormat="1" applyFont="1" applyFill="1" applyAlignment="1">
      <alignment vertical="center"/>
    </xf>
    <xf numFmtId="49" fontId="2" fillId="16" borderId="0" xfId="0" applyNumberFormat="1" applyFont="1" applyFill="1"/>
    <xf numFmtId="1" fontId="6" fillId="16" borderId="0" xfId="0" applyNumberFormat="1" applyFont="1" applyFill="1" applyAlignment="1">
      <alignment horizontal="right" vertical="center"/>
    </xf>
    <xf numFmtId="164" fontId="2" fillId="16" borderId="0" xfId="0" applyNumberFormat="1" applyFont="1" applyFill="1"/>
    <xf numFmtId="2" fontId="2" fillId="16" borderId="0" xfId="0" applyNumberFormat="1" applyFont="1" applyFill="1"/>
    <xf numFmtId="1" fontId="2" fillId="16" borderId="0" xfId="0" applyNumberFormat="1" applyFont="1" applyFill="1"/>
    <xf numFmtId="49" fontId="5" fillId="16" borderId="0" xfId="0" applyNumberFormat="1" applyFont="1" applyFill="1"/>
    <xf numFmtId="49" fontId="2" fillId="17" borderId="0" xfId="0" applyNumberFormat="1" applyFont="1" applyFill="1" applyAlignment="1">
      <alignment horizontal="left"/>
    </xf>
    <xf numFmtId="14" fontId="6" fillId="17" borderId="0" xfId="0" applyNumberFormat="1" applyFont="1" applyFill="1" applyAlignment="1">
      <alignment vertical="center"/>
    </xf>
    <xf numFmtId="49" fontId="2" fillId="17" borderId="0" xfId="0" applyNumberFormat="1" applyFont="1" applyFill="1"/>
    <xf numFmtId="1" fontId="2" fillId="17" borderId="0" xfId="0" applyNumberFormat="1" applyFont="1" applyFill="1" applyAlignment="1">
      <alignment horizontal="right"/>
    </xf>
    <xf numFmtId="1" fontId="6" fillId="17" borderId="0" xfId="0" applyNumberFormat="1" applyFont="1" applyFill="1" applyAlignment="1">
      <alignment horizontal="right" vertical="center"/>
    </xf>
    <xf numFmtId="164" fontId="2" fillId="17" borderId="0" xfId="0" applyNumberFormat="1" applyFont="1" applyFill="1"/>
    <xf numFmtId="2" fontId="2" fillId="17" borderId="0" xfId="0" applyNumberFormat="1" applyFont="1" applyFill="1"/>
    <xf numFmtId="1" fontId="2" fillId="17" borderId="0" xfId="0" applyNumberFormat="1" applyFont="1" applyFill="1"/>
    <xf numFmtId="49" fontId="5" fillId="17" borderId="0" xfId="0" applyNumberFormat="1" applyFont="1" applyFill="1"/>
    <xf numFmtId="0" fontId="3" fillId="18" borderId="0" xfId="0" applyFont="1" applyFill="1" applyAlignment="1">
      <alignment vertical="center"/>
    </xf>
    <xf numFmtId="14" fontId="1" fillId="18" borderId="0" xfId="0" applyNumberFormat="1" applyFont="1" applyFill="1"/>
    <xf numFmtId="0" fontId="0" fillId="18" borderId="0" xfId="0" applyFill="1"/>
    <xf numFmtId="1" fontId="1" fillId="18" borderId="0" xfId="0" applyNumberFormat="1" applyFont="1" applyFill="1" applyAlignment="1">
      <alignment horizontal="right"/>
    </xf>
    <xf numFmtId="0" fontId="1" fillId="18" borderId="0" xfId="0" applyFont="1" applyFill="1"/>
    <xf numFmtId="0" fontId="1" fillId="18" borderId="0" xfId="0" applyFont="1" applyFill="1" applyAlignment="1">
      <alignment horizontal="right"/>
    </xf>
    <xf numFmtId="164" fontId="3" fillId="18" borderId="0" xfId="0" applyNumberFormat="1" applyFont="1" applyFill="1" applyAlignment="1">
      <alignment vertical="center" wrapText="1"/>
    </xf>
    <xf numFmtId="164" fontId="1" fillId="18" borderId="0" xfId="0" applyNumberFormat="1" applyFont="1" applyFill="1"/>
    <xf numFmtId="2" fontId="2" fillId="18" borderId="0" xfId="0" applyNumberFormat="1" applyFont="1" applyFill="1"/>
    <xf numFmtId="1" fontId="1" fillId="18" borderId="0" xfId="0" applyNumberFormat="1" applyFont="1" applyFill="1"/>
    <xf numFmtId="0" fontId="4" fillId="18" borderId="0" xfId="1" applyFill="1" applyBorder="1"/>
    <xf numFmtId="1" fontId="2" fillId="18" borderId="0" xfId="0" applyNumberFormat="1" applyFont="1" applyFill="1"/>
    <xf numFmtId="0" fontId="0" fillId="19" borderId="0" xfId="0" applyFill="1"/>
    <xf numFmtId="1" fontId="2" fillId="9" borderId="0" xfId="0" applyNumberFormat="1" applyFont="1" applyFill="1" applyAlignment="1">
      <alignment horizontal="right" vertical="center"/>
    </xf>
    <xf numFmtId="164" fontId="5" fillId="12" borderId="0" xfId="0" applyNumberFormat="1" applyFont="1" applyFill="1"/>
    <xf numFmtId="1" fontId="5" fillId="12" borderId="0" xfId="0" applyNumberFormat="1" applyFont="1" applyFill="1"/>
    <xf numFmtId="49" fontId="4" fillId="6" borderId="0" xfId="1" applyNumberFormat="1" applyFill="1" applyBorder="1"/>
    <xf numFmtId="49" fontId="7" fillId="20" borderId="0" xfId="0" applyNumberFormat="1" applyFont="1" applyFill="1" applyAlignment="1">
      <alignment horizontal="left"/>
    </xf>
    <xf numFmtId="14" fontId="2" fillId="20" borderId="0" xfId="0" applyNumberFormat="1" applyFont="1" applyFill="1"/>
    <xf numFmtId="49" fontId="2" fillId="20" borderId="0" xfId="0" applyNumberFormat="1" applyFont="1" applyFill="1"/>
    <xf numFmtId="1" fontId="2" fillId="20" borderId="0" xfId="0" applyNumberFormat="1" applyFont="1" applyFill="1" applyAlignment="1">
      <alignment horizontal="right"/>
    </xf>
    <xf numFmtId="1" fontId="6" fillId="20" borderId="0" xfId="0" applyNumberFormat="1" applyFont="1" applyFill="1" applyAlignment="1">
      <alignment horizontal="right" vertical="center"/>
    </xf>
    <xf numFmtId="164" fontId="2" fillId="20" borderId="0" xfId="0" applyNumberFormat="1" applyFont="1" applyFill="1"/>
    <xf numFmtId="164" fontId="7" fillId="20" borderId="0" xfId="0" applyNumberFormat="1" applyFont="1" applyFill="1"/>
    <xf numFmtId="2" fontId="2" fillId="20" borderId="0" xfId="0" applyNumberFormat="1" applyFont="1" applyFill="1"/>
    <xf numFmtId="1" fontId="2" fillId="20" borderId="0" xfId="0" applyNumberFormat="1" applyFont="1" applyFill="1"/>
    <xf numFmtId="49" fontId="5" fillId="20" borderId="0" xfId="0" applyNumberFormat="1" applyFont="1" applyFill="1"/>
    <xf numFmtId="164" fontId="5" fillId="5" borderId="0" xfId="0" applyNumberFormat="1" applyFont="1" applyFill="1"/>
    <xf numFmtId="1" fontId="2" fillId="2" borderId="0" xfId="0" applyNumberFormat="1" applyFont="1" applyFill="1" applyAlignment="1">
      <alignment horizontal="right" vertical="center"/>
    </xf>
    <xf numFmtId="49" fontId="4" fillId="2" borderId="0" xfId="1" applyNumberFormat="1" applyFill="1" applyBorder="1"/>
    <xf numFmtId="49" fontId="2" fillId="20" borderId="0" xfId="0" applyNumberFormat="1" applyFont="1" applyFill="1" applyAlignment="1">
      <alignment horizontal="left"/>
    </xf>
    <xf numFmtId="49" fontId="2" fillId="21" borderId="0" xfId="0" applyNumberFormat="1" applyFont="1" applyFill="1" applyAlignment="1">
      <alignment horizontal="left"/>
    </xf>
    <xf numFmtId="14" fontId="2" fillId="21" borderId="0" xfId="0" applyNumberFormat="1" applyFont="1" applyFill="1"/>
    <xf numFmtId="49" fontId="2" fillId="21" borderId="0" xfId="0" applyNumberFormat="1" applyFont="1" applyFill="1"/>
    <xf numFmtId="1" fontId="2" fillId="21" borderId="0" xfId="0" applyNumberFormat="1" applyFont="1" applyFill="1" applyAlignment="1">
      <alignment horizontal="right"/>
    </xf>
    <xf numFmtId="1" fontId="2" fillId="21" borderId="0" xfId="0" applyNumberFormat="1" applyFont="1" applyFill="1" applyAlignment="1">
      <alignment horizontal="right" vertical="center"/>
    </xf>
    <xf numFmtId="164" fontId="2" fillId="21" borderId="0" xfId="0" applyNumberFormat="1" applyFont="1" applyFill="1"/>
    <xf numFmtId="2" fontId="2" fillId="21" borderId="0" xfId="0" applyNumberFormat="1" applyFont="1" applyFill="1"/>
    <xf numFmtId="1" fontId="2" fillId="21" borderId="0" xfId="0" applyNumberFormat="1" applyFont="1" applyFill="1"/>
    <xf numFmtId="49" fontId="5" fillId="21" borderId="0" xfId="0" applyNumberFormat="1" applyFont="1" applyFill="1"/>
    <xf numFmtId="49" fontId="2" fillId="22" borderId="0" xfId="0" applyNumberFormat="1" applyFont="1" applyFill="1" applyAlignment="1">
      <alignment horizontal="left"/>
    </xf>
    <xf numFmtId="14" fontId="2" fillId="22" borderId="0" xfId="0" applyNumberFormat="1" applyFont="1" applyFill="1"/>
    <xf numFmtId="49" fontId="2" fillId="22" borderId="0" xfId="0" applyNumberFormat="1" applyFont="1" applyFill="1"/>
    <xf numFmtId="1" fontId="2" fillId="22" borderId="0" xfId="0" applyNumberFormat="1" applyFont="1" applyFill="1" applyAlignment="1">
      <alignment horizontal="right"/>
    </xf>
    <xf numFmtId="1" fontId="2" fillId="22" borderId="0" xfId="0" applyNumberFormat="1" applyFont="1" applyFill="1" applyAlignment="1">
      <alignment horizontal="right" vertical="center"/>
    </xf>
    <xf numFmtId="164" fontId="2" fillId="22" borderId="0" xfId="0" applyNumberFormat="1" applyFont="1" applyFill="1"/>
    <xf numFmtId="2" fontId="2" fillId="22" borderId="0" xfId="0" applyNumberFormat="1" applyFont="1" applyFill="1"/>
    <xf numFmtId="1" fontId="2" fillId="22" borderId="0" xfId="0" applyNumberFormat="1" applyFont="1" applyFill="1"/>
    <xf numFmtId="49" fontId="4" fillId="22" borderId="0" xfId="1" applyNumberFormat="1" applyFill="1" applyBorder="1"/>
    <xf numFmtId="49" fontId="5" fillId="22" borderId="0" xfId="0" applyNumberFormat="1" applyFont="1" applyFill="1"/>
    <xf numFmtId="49" fontId="2" fillId="23" borderId="0" xfId="0" applyNumberFormat="1" applyFont="1" applyFill="1" applyAlignment="1">
      <alignment horizontal="left"/>
    </xf>
    <xf numFmtId="14" fontId="7" fillId="23" borderId="0" xfId="0" applyNumberFormat="1" applyFont="1" applyFill="1"/>
    <xf numFmtId="49" fontId="2" fillId="23" borderId="0" xfId="0" applyNumberFormat="1" applyFont="1" applyFill="1"/>
    <xf numFmtId="1" fontId="2" fillId="23" borderId="0" xfId="0" applyNumberFormat="1" applyFont="1" applyFill="1" applyAlignment="1">
      <alignment horizontal="right"/>
    </xf>
    <xf numFmtId="1" fontId="2" fillId="23" borderId="0" xfId="0" applyNumberFormat="1" applyFont="1" applyFill="1" applyAlignment="1">
      <alignment horizontal="right" vertical="center"/>
    </xf>
    <xf numFmtId="164" fontId="2" fillId="23" borderId="0" xfId="0" applyNumberFormat="1" applyFont="1" applyFill="1"/>
    <xf numFmtId="2" fontId="2" fillId="23" borderId="0" xfId="0" applyNumberFormat="1" applyFont="1" applyFill="1"/>
    <xf numFmtId="1" fontId="2" fillId="23" borderId="0" xfId="0" applyNumberFormat="1" applyFont="1" applyFill="1"/>
    <xf numFmtId="49" fontId="5" fillId="23" borderId="0" xfId="0" applyNumberFormat="1" applyFont="1" applyFill="1"/>
    <xf numFmtId="49" fontId="2" fillId="24" borderId="0" xfId="0" applyNumberFormat="1" applyFont="1" applyFill="1" applyAlignment="1">
      <alignment horizontal="left"/>
    </xf>
    <xf numFmtId="14" fontId="2" fillId="24" borderId="0" xfId="0" applyNumberFormat="1" applyFont="1" applyFill="1"/>
    <xf numFmtId="49" fontId="2" fillId="24" borderId="0" xfId="0" applyNumberFormat="1" applyFont="1" applyFill="1"/>
    <xf numFmtId="1" fontId="2" fillId="24" borderId="0" xfId="0" applyNumberFormat="1" applyFont="1" applyFill="1" applyAlignment="1">
      <alignment horizontal="right"/>
    </xf>
    <xf numFmtId="1" fontId="2" fillId="24" borderId="0" xfId="0" applyNumberFormat="1" applyFont="1" applyFill="1" applyAlignment="1">
      <alignment horizontal="right" vertical="center"/>
    </xf>
    <xf numFmtId="164" fontId="2" fillId="24" borderId="0" xfId="0" applyNumberFormat="1" applyFont="1" applyFill="1"/>
    <xf numFmtId="2" fontId="2" fillId="24" borderId="0" xfId="0" applyNumberFormat="1" applyFont="1" applyFill="1"/>
    <xf numFmtId="1" fontId="2" fillId="24" borderId="0" xfId="0" applyNumberFormat="1" applyFont="1" applyFill="1"/>
    <xf numFmtId="49" fontId="4" fillId="24" borderId="0" xfId="1" applyNumberFormat="1" applyFill="1" applyBorder="1"/>
    <xf numFmtId="49" fontId="5" fillId="24" borderId="0" xfId="0" applyNumberFormat="1" applyFont="1" applyFill="1"/>
    <xf numFmtId="1" fontId="2" fillId="6" borderId="0" xfId="0" applyNumberFormat="1" applyFont="1" applyFill="1" applyAlignment="1">
      <alignment horizontal="right" vertical="center"/>
    </xf>
    <xf numFmtId="49" fontId="2" fillId="25" borderId="0" xfId="0" applyNumberFormat="1" applyFont="1" applyFill="1" applyAlignment="1">
      <alignment horizontal="left"/>
    </xf>
    <xf numFmtId="14" fontId="2" fillId="25" borderId="0" xfId="0" applyNumberFormat="1" applyFont="1" applyFill="1"/>
    <xf numFmtId="49" fontId="2" fillId="25" borderId="0" xfId="0" applyNumberFormat="1" applyFont="1" applyFill="1"/>
    <xf numFmtId="1" fontId="2" fillId="25" borderId="0" xfId="0" applyNumberFormat="1" applyFont="1" applyFill="1" applyAlignment="1">
      <alignment horizontal="right"/>
    </xf>
    <xf numFmtId="1" fontId="2" fillId="25" borderId="0" xfId="0" applyNumberFormat="1" applyFont="1" applyFill="1" applyAlignment="1">
      <alignment horizontal="right" vertical="center"/>
    </xf>
    <xf numFmtId="164" fontId="2" fillId="25" borderId="0" xfId="0" applyNumberFormat="1" applyFont="1" applyFill="1"/>
    <xf numFmtId="2" fontId="2" fillId="25" borderId="0" xfId="0" applyNumberFormat="1" applyFont="1" applyFill="1"/>
    <xf numFmtId="1" fontId="2" fillId="25" borderId="0" xfId="0" applyNumberFormat="1" applyFont="1" applyFill="1"/>
    <xf numFmtId="49" fontId="5" fillId="25" borderId="0" xfId="0" applyNumberFormat="1" applyFont="1" applyFill="1"/>
    <xf numFmtId="49" fontId="2" fillId="26" borderId="0" xfId="0" applyNumberFormat="1" applyFont="1" applyFill="1" applyAlignment="1">
      <alignment horizontal="left"/>
    </xf>
    <xf numFmtId="14" fontId="2" fillId="26" borderId="0" xfId="0" applyNumberFormat="1" applyFont="1" applyFill="1"/>
    <xf numFmtId="49" fontId="2" fillId="26" borderId="0" xfId="0" applyNumberFormat="1" applyFont="1" applyFill="1"/>
    <xf numFmtId="1" fontId="2" fillId="26" borderId="0" xfId="0" applyNumberFormat="1" applyFont="1" applyFill="1" applyAlignment="1">
      <alignment horizontal="right"/>
    </xf>
    <xf numFmtId="49" fontId="7" fillId="26" borderId="0" xfId="0" applyNumberFormat="1" applyFont="1" applyFill="1"/>
    <xf numFmtId="164" fontId="2" fillId="26" borderId="0" xfId="0" applyNumberFormat="1" applyFont="1" applyFill="1"/>
    <xf numFmtId="164" fontId="7" fillId="26" borderId="0" xfId="0" applyNumberFormat="1" applyFont="1" applyFill="1"/>
    <xf numFmtId="2" fontId="2" fillId="26" borderId="0" xfId="0" applyNumberFormat="1" applyFont="1" applyFill="1"/>
    <xf numFmtId="1" fontId="2" fillId="26" borderId="0" xfId="0" applyNumberFormat="1" applyFont="1" applyFill="1"/>
    <xf numFmtId="49" fontId="5" fillId="26" borderId="0" xfId="0" applyNumberFormat="1" applyFont="1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14" fontId="2" fillId="0" borderId="0" xfId="0" applyNumberFormat="1" applyFont="1"/>
    <xf numFmtId="49" fontId="2" fillId="0" borderId="0" xfId="0" applyNumberFormat="1" applyFont="1"/>
    <xf numFmtId="1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11" fillId="6" borderId="0" xfId="0" applyNumberFormat="1" applyFont="1" applyFill="1"/>
    <xf numFmtId="164" fontId="4" fillId="5" borderId="0" xfId="1" applyNumberFormat="1" applyFill="1" applyBorder="1"/>
    <xf numFmtId="14" fontId="11" fillId="9" borderId="0" xfId="0" applyNumberFormat="1" applyFont="1" applyFill="1"/>
    <xf numFmtId="1" fontId="11" fillId="9" borderId="0" xfId="0" applyNumberFormat="1" applyFont="1" applyFill="1" applyAlignment="1">
      <alignment horizontal="right" vertical="center"/>
    </xf>
    <xf numFmtId="164" fontId="9" fillId="9" borderId="0" xfId="0" applyNumberFormat="1" applyFont="1" applyFill="1"/>
    <xf numFmtId="49" fontId="4" fillId="9" borderId="0" xfId="1" applyNumberFormat="1" applyFill="1" applyBorder="1"/>
    <xf numFmtId="0" fontId="2" fillId="2" borderId="0" xfId="0" applyFont="1" applyFill="1" applyAlignment="1">
      <alignment horizontal="right"/>
    </xf>
    <xf numFmtId="14" fontId="11" fillId="20" borderId="0" xfId="0" applyNumberFormat="1" applyFont="1" applyFill="1"/>
    <xf numFmtId="49" fontId="4" fillId="20" borderId="0" xfId="1" applyNumberFormat="1" applyFill="1" applyBorder="1"/>
    <xf numFmtId="49" fontId="11" fillId="26" borderId="0" xfId="0" applyNumberFormat="1" applyFont="1" applyFill="1"/>
    <xf numFmtId="49" fontId="4" fillId="26" borderId="0" xfId="1" applyNumberFormat="1" applyFill="1" applyBorder="1"/>
    <xf numFmtId="49" fontId="11" fillId="2" borderId="0" xfId="0" applyNumberFormat="1" applyFont="1" applyFill="1" applyAlignment="1">
      <alignment horizontal="left"/>
    </xf>
    <xf numFmtId="14" fontId="11" fillId="11" borderId="0" xfId="0" applyNumberFormat="1" applyFont="1" applyFill="1"/>
    <xf numFmtId="49" fontId="4" fillId="11" borderId="0" xfId="1" applyNumberFormat="1" applyFill="1" applyBorder="1"/>
    <xf numFmtId="1" fontId="4" fillId="12" borderId="0" xfId="1" applyNumberFormat="1" applyFill="1" applyBorder="1"/>
    <xf numFmtId="2" fontId="2" fillId="33" borderId="0" xfId="0" applyNumberFormat="1" applyFont="1" applyFill="1"/>
    <xf numFmtId="1" fontId="4" fillId="25" borderId="0" xfId="1" applyNumberFormat="1" applyFill="1" applyBorder="1"/>
    <xf numFmtId="49" fontId="4" fillId="25" borderId="0" xfId="1" applyNumberFormat="1" applyFill="1" applyBorder="1"/>
    <xf numFmtId="164" fontId="11" fillId="2" borderId="0" xfId="0" applyNumberFormat="1" applyFont="1" applyFill="1"/>
    <xf numFmtId="14" fontId="7" fillId="2" borderId="0" xfId="0" applyNumberFormat="1" applyFont="1" applyFill="1"/>
    <xf numFmtId="0" fontId="12" fillId="16" borderId="0" xfId="0" applyFont="1" applyFill="1" applyAlignment="1">
      <alignment wrapText="1"/>
    </xf>
    <xf numFmtId="14" fontId="12" fillId="16" borderId="0" xfId="0" applyNumberFormat="1" applyFont="1" applyFill="1" applyAlignment="1">
      <alignment horizontal="right" wrapText="1"/>
    </xf>
    <xf numFmtId="0" fontId="12" fillId="16" borderId="0" xfId="0" applyFont="1" applyFill="1" applyAlignment="1">
      <alignment horizontal="right" wrapText="1"/>
    </xf>
    <xf numFmtId="0" fontId="12" fillId="0" borderId="0" xfId="0" applyFont="1" applyAlignment="1">
      <alignment horizontal="right" wrapText="1"/>
    </xf>
    <xf numFmtId="0" fontId="13" fillId="16" borderId="0" xfId="0" applyFont="1" applyFill="1" applyAlignment="1">
      <alignment wrapText="1"/>
    </xf>
    <xf numFmtId="0" fontId="13" fillId="16" borderId="0" xfId="0" applyFont="1" applyFill="1" applyAlignment="1">
      <alignment vertical="center"/>
    </xf>
    <xf numFmtId="0" fontId="12" fillId="17" borderId="0" xfId="0" applyFont="1" applyFill="1" applyAlignment="1">
      <alignment wrapText="1"/>
    </xf>
    <xf numFmtId="14" fontId="12" fillId="17" borderId="0" xfId="0" applyNumberFormat="1" applyFont="1" applyFill="1" applyAlignment="1">
      <alignment horizontal="right" wrapText="1"/>
    </xf>
    <xf numFmtId="0" fontId="12" fillId="17" borderId="0" xfId="0" applyFont="1" applyFill="1" applyAlignment="1">
      <alignment horizontal="right" wrapText="1"/>
    </xf>
    <xf numFmtId="0" fontId="13" fillId="17" borderId="0" xfId="0" applyFont="1" applyFill="1" applyAlignment="1">
      <alignment wrapText="1"/>
    </xf>
    <xf numFmtId="0" fontId="13" fillId="17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EABAB"/>
      <color rgb="FFD6C168"/>
      <color rgb="FFE7E6E6"/>
      <color rgb="FFCCFF33"/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vg.hu/itthon/201921_mozdulnake" TargetMode="External"/><Relationship Id="rId18" Type="http://schemas.openxmlformats.org/officeDocument/2006/relationships/hyperlink" Target="http://iranytuintezet.hu/elemzesek-kutatasok/mind/237-partpreferenciak-alakulasa-az-europai-parlamenti-valasztas-elott/" TargetMode="External"/><Relationship Id="rId26" Type="http://schemas.openxmlformats.org/officeDocument/2006/relationships/hyperlink" Target="https://mandiner.hu/belfold/2024/05/igy-alakulhatnak-a-mandatumok-az-ep-valasztason" TargetMode="External"/><Relationship Id="rId3" Type="http://schemas.openxmlformats.org/officeDocument/2006/relationships/hyperlink" Target="https://web.archive.org/web/20180406141749/https:/hvg.hu/itthon/201814__medianfelmeres__erosodo_fidesz__nepszeru_kormany__rejtozo_ketharmad" TargetMode="External"/><Relationship Id="rId21" Type="http://schemas.openxmlformats.org/officeDocument/2006/relationships/hyperlink" Target="https://szazadveg.hu/hu/2022/03/31/fidesz-kdnp-49-szazalek-ellenzeki-osszefogas-44-szazalek~n2637" TargetMode="External"/><Relationship Id="rId7" Type="http://schemas.openxmlformats.org/officeDocument/2006/relationships/hyperlink" Target="https://www.origo.hu/itthon/valasztas2018/20180403-fidesz-kdnp-felmeres-szazadveg.html" TargetMode="External"/><Relationship Id="rId12" Type="http://schemas.openxmlformats.org/officeDocument/2006/relationships/hyperlink" Target="https://hvg.hu/itthon/201414_rejt_a_palya" TargetMode="External"/><Relationship Id="rId17" Type="http://schemas.openxmlformats.org/officeDocument/2006/relationships/hyperlink" Target="https://alfahir.hu/2019/05/14/jobbik_ep_valasztas_2019_iranytu_intezet" TargetMode="External"/><Relationship Id="rId25" Type="http://schemas.openxmlformats.org/officeDocument/2006/relationships/hyperlink" Target="https://www.facebook.com/photo/?fbid=777897661091549&amp;set=a.508321001382551" TargetMode="External"/><Relationship Id="rId33" Type="http://schemas.openxmlformats.org/officeDocument/2006/relationships/hyperlink" Target="https://index.hu/belfold/2026/03/31/zavecz-research-kozvelemeny-kutatas-partpreferencia-fidesz-tisza-part-valasztas-2026/" TargetMode="External"/><Relationship Id="rId2" Type="http://schemas.openxmlformats.org/officeDocument/2006/relationships/hyperlink" Target="https://nezopontintezet.hu/2018/03/28/valtozatlanul-vezet-a-fidesz-a-kampany-veghajrajaban/" TargetMode="External"/><Relationship Id="rId16" Type="http://schemas.openxmlformats.org/officeDocument/2006/relationships/hyperlink" Target="http://www.zaveczresearch.hu/szoros-versenyben-a-jobbik-az-mszp-es-a-dk/" TargetMode="External"/><Relationship Id="rId20" Type="http://schemas.openxmlformats.org/officeDocument/2006/relationships/hyperlink" Target="https://magyarnemzet.hu/belfold/2022/03/nezopont-a-fideszkdnp-47-az-egyesult-baloldal-42-szazalekon-all-a-valasztasok-elott-egy-hettel" TargetMode="External"/><Relationship Id="rId29" Type="http://schemas.openxmlformats.org/officeDocument/2006/relationships/hyperlink" Target="https://index.hu/belfold/2026/02/06/valasztas-kozvelemeny-kutatas-amerika-felmeres-fidesz-tisza-part-orban-viktor-magyar-peter/" TargetMode="External"/><Relationship Id="rId1" Type="http://schemas.openxmlformats.org/officeDocument/2006/relationships/hyperlink" Target="https://nezopontintezet.hu/wp-content/uploads/2018/03/Nezopont_Intezet_kutatas20180328.png" TargetMode="External"/><Relationship Id="rId6" Type="http://schemas.openxmlformats.org/officeDocument/2006/relationships/hyperlink" Target="https://web.archive.org/web/20180406200502/https:/index.hu/belfold/2018/valasztas/2018/04/06/65_koruli_reszvetelt_40_feletti_fideszt_mer_a_zri/" TargetMode="External"/><Relationship Id="rId11" Type="http://schemas.openxmlformats.org/officeDocument/2006/relationships/hyperlink" Target="https://web.archive.org/web/20140409095352/http:/kozvelemenykutatok.hu/csak-a-fidesz-ketharmada-a-kerdes-median/" TargetMode="External"/><Relationship Id="rId24" Type="http://schemas.openxmlformats.org/officeDocument/2006/relationships/hyperlink" Target="https://archiv.nezopont.hu/a-nezopont-intezet-valasztasok-elotti-utolso-nyilvanos-meresi-eredmenye/" TargetMode="External"/><Relationship Id="rId32" Type="http://schemas.openxmlformats.org/officeDocument/2006/relationships/hyperlink" Target="https://iranytuintezet.hu/wp-content/uploads/2026/02/2026.02_Iranytu_orszagos_kutatas.pdf" TargetMode="External"/><Relationship Id="rId5" Type="http://schemas.openxmlformats.org/officeDocument/2006/relationships/hyperlink" Target="https://m.hvg.hu/360/hetilap360/2018/14/20181405magyar3" TargetMode="External"/><Relationship Id="rId15" Type="http://schemas.openxmlformats.org/officeDocument/2006/relationships/hyperlink" Target="https://hvg.hu/itthon/20190516_Ugyanannyi_kepviseloje_lehet_a_Jobbiknak_MSZPnek_es_DKnak_is_az_Epben" TargetMode="External"/><Relationship Id="rId23" Type="http://schemas.openxmlformats.org/officeDocument/2006/relationships/hyperlink" Target="https://magyarnemzet.hu/belfold/2022/03/nezopont-a-fideszkdnp-47-az-egyesult-baloldal-42-szazalekon-all-a-valasztasok-elott-egy-hettel" TargetMode="External"/><Relationship Id="rId28" Type="http://schemas.openxmlformats.org/officeDocument/2006/relationships/hyperlink" Target="https://mandiner.hu/belfold/2024/05/igy-alakulhatnak-a-mandatumok-az-ep-valasztason" TargetMode="External"/><Relationship Id="rId10" Type="http://schemas.openxmlformats.org/officeDocument/2006/relationships/hyperlink" Target="https://web.archive.org/web/20230329152621/https:/kozvelemenykutatok.hu/valasztas-2014-ertekeles/" TargetMode="External"/><Relationship Id="rId19" Type="http://schemas.openxmlformats.org/officeDocument/2006/relationships/hyperlink" Target="https://web.archive.org/web/20220412161015/https:/szazadveg.hu/hu/kozvelemeny-kutatasok" TargetMode="External"/><Relationship Id="rId31" Type="http://schemas.openxmlformats.org/officeDocument/2006/relationships/hyperlink" Target="https://nepszava.hu/3312324_fidesz-tisza-part-valasztas-2026-iranytu-gyozelem-intezet-felmeres" TargetMode="External"/><Relationship Id="rId4" Type="http://schemas.openxmlformats.org/officeDocument/2006/relationships/hyperlink" Target="https://m.hvg.hu/360/hetilap360/2018/14/20181405magyar3" TargetMode="External"/><Relationship Id="rId9" Type="http://schemas.openxmlformats.org/officeDocument/2006/relationships/hyperlink" Target="https://web.archive.org/web/20140405143530/http:/kozvelemenykutatok.hu/stabil-fidesz-kdnp-elony-a-kampany-hajrajaban-szazadveg/" TargetMode="External"/><Relationship Id="rId14" Type="http://schemas.openxmlformats.org/officeDocument/2006/relationships/hyperlink" Target="https://nezopont.hu/a-fidesz-kdnp-nyerhet-majus-26-an-a-masodik-helyezett-kilete-kerdeses/" TargetMode="External"/><Relationship Id="rId22" Type="http://schemas.openxmlformats.org/officeDocument/2006/relationships/hyperlink" Target="https://24.hu/belfold/2022/03/29/fidesz-kozos-ellenzek-zavecz-kozvelemeny-kutatas-biztos-szavazok/" TargetMode="External"/><Relationship Id="rId27" Type="http://schemas.openxmlformats.org/officeDocument/2006/relationships/hyperlink" Target="https://www.origo.hu/itthon/2024/05/nezopont-fidesz-ep-valasztas-haboru-es-beke" TargetMode="External"/><Relationship Id="rId30" Type="http://schemas.openxmlformats.org/officeDocument/2006/relationships/hyperlink" Target="https://www.facebook.com/nezopontintezet/posts/pfbid02gt2YQuagheNEVnrzr6aVj8mCoXkbCY7bwVfNUqT2F1xBn8UfR9xaFYCbj5Z2ssaal" TargetMode="External"/><Relationship Id="rId8" Type="http://schemas.openxmlformats.org/officeDocument/2006/relationships/hyperlink" Target="https://web.archive.org/web/20200723061910/https:/szazadveg.hu/hu/kutatasok/az-alapitvany-kutatasai/piackutatas-kozvelemeny-kutatas/fordulat-a-partok-versenyeben-az-mszp-megelozte-a-jobbiko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3"/>
  <sheetViews>
    <sheetView zoomScaleNormal="100" workbookViewId="0">
      <pane xSplit="6" ySplit="1" topLeftCell="Q51" activePane="bottomRight" state="frozen"/>
      <selection pane="topRight" activeCell="G1" sqref="G1"/>
      <selection pane="bottomLeft" activeCell="A2" sqref="A2"/>
      <selection pane="bottomRight" activeCell="T66" sqref="T66"/>
    </sheetView>
  </sheetViews>
  <sheetFormatPr defaultRowHeight="14.25" x14ac:dyDescent="0.45"/>
  <cols>
    <col min="4" max="5" width="9.19921875" bestFit="1" customWidth="1"/>
    <col min="12" max="12" width="6.1328125" customWidth="1"/>
    <col min="13" max="13" width="7.86328125" customWidth="1"/>
    <col min="29" max="38" width="0" hidden="1" customWidth="1"/>
    <col min="39" max="40" width="10.73046875" hidden="1" customWidth="1"/>
    <col min="41" max="41" width="11" customWidth="1"/>
  </cols>
  <sheetData>
    <row r="1" spans="1:65" x14ac:dyDescent="0.45">
      <c r="A1" t="s">
        <v>43</v>
      </c>
      <c r="B1" t="s">
        <v>150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221" t="s">
        <v>8</v>
      </c>
      <c r="L1" s="220" t="s">
        <v>9</v>
      </c>
      <c r="M1" s="220" t="s">
        <v>10</v>
      </c>
      <c r="N1" s="220" t="s">
        <v>11</v>
      </c>
      <c r="O1" s="222" t="s">
        <v>12</v>
      </c>
      <c r="P1" s="220" t="s">
        <v>13</v>
      </c>
      <c r="Q1" s="220" t="s">
        <v>14</v>
      </c>
      <c r="R1" s="220" t="s">
        <v>15</v>
      </c>
      <c r="S1" s="222" t="s">
        <v>16</v>
      </c>
      <c r="T1" s="220" t="s">
        <v>17</v>
      </c>
      <c r="U1" s="220" t="s">
        <v>18</v>
      </c>
      <c r="V1" s="220" t="s">
        <v>19</v>
      </c>
      <c r="W1" s="222" t="s">
        <v>20</v>
      </c>
      <c r="X1" s="224" t="s">
        <v>21</v>
      </c>
      <c r="Y1" s="223" t="s">
        <v>22</v>
      </c>
      <c r="Z1" s="219" t="s">
        <v>23</v>
      </c>
      <c r="AA1" s="220" t="s">
        <v>24</v>
      </c>
      <c r="AB1" s="220" t="s">
        <v>25</v>
      </c>
      <c r="AC1" s="82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153</v>
      </c>
      <c r="AR1" s="220" t="s">
        <v>154</v>
      </c>
    </row>
    <row r="2" spans="1:65" x14ac:dyDescent="0.45">
      <c r="A2" s="142">
        <v>2018</v>
      </c>
      <c r="B2" t="s">
        <v>70</v>
      </c>
      <c r="C2" s="2" t="s">
        <v>39</v>
      </c>
      <c r="D2" s="3">
        <v>43162</v>
      </c>
      <c r="E2" s="3">
        <v>43178</v>
      </c>
      <c r="F2" s="4" t="s">
        <v>40</v>
      </c>
      <c r="G2" s="5" t="s">
        <v>44</v>
      </c>
      <c r="H2" s="4"/>
      <c r="I2" s="4" t="s">
        <v>45</v>
      </c>
      <c r="J2" s="5">
        <v>1000</v>
      </c>
      <c r="K2" s="6">
        <v>52</v>
      </c>
      <c r="L2" s="6"/>
      <c r="M2" s="6">
        <v>15</v>
      </c>
      <c r="N2" s="6">
        <v>8</v>
      </c>
      <c r="O2" s="6">
        <v>8</v>
      </c>
      <c r="P2" s="6"/>
      <c r="Q2" s="6"/>
      <c r="R2" s="6">
        <v>3</v>
      </c>
      <c r="S2" s="6"/>
      <c r="T2" s="6">
        <v>11</v>
      </c>
      <c r="U2" s="6"/>
      <c r="V2" s="6"/>
      <c r="W2" s="6"/>
      <c r="X2" s="6">
        <v>2</v>
      </c>
      <c r="Y2" s="6"/>
      <c r="Z2" s="6"/>
      <c r="AA2" s="6"/>
      <c r="AB2" s="6">
        <v>1</v>
      </c>
      <c r="AC2" s="7">
        <v>1.0101010101010102</v>
      </c>
      <c r="AD2" s="102">
        <v>100</v>
      </c>
      <c r="AE2" s="6"/>
      <c r="AF2" s="6"/>
      <c r="AG2" s="6"/>
      <c r="AH2" s="8"/>
      <c r="AI2" s="9" t="s">
        <v>46</v>
      </c>
      <c r="AJ2" s="9" t="s">
        <v>47</v>
      </c>
      <c r="AK2" s="9" t="s">
        <v>48</v>
      </c>
      <c r="AL2" s="4" t="s">
        <v>49</v>
      </c>
      <c r="AM2" s="8">
        <v>1520035200</v>
      </c>
      <c r="AN2" s="8">
        <v>1521417600</v>
      </c>
      <c r="AO2" s="8">
        <v>1520726400</v>
      </c>
      <c r="AR2" s="221" t="s">
        <v>8</v>
      </c>
    </row>
    <row r="3" spans="1:65" x14ac:dyDescent="0.45">
      <c r="A3" s="142">
        <v>2018</v>
      </c>
      <c r="B3" t="s">
        <v>70</v>
      </c>
      <c r="C3" s="10" t="s">
        <v>39</v>
      </c>
      <c r="D3" s="11">
        <v>43182</v>
      </c>
      <c r="E3" s="11">
        <v>43186</v>
      </c>
      <c r="F3" s="12" t="s">
        <v>50</v>
      </c>
      <c r="G3" s="13" t="s">
        <v>44</v>
      </c>
      <c r="H3" s="12"/>
      <c r="I3" s="12" t="s">
        <v>45</v>
      </c>
      <c r="J3" s="14">
        <v>1200</v>
      </c>
      <c r="K3" s="15">
        <v>53</v>
      </c>
      <c r="L3" s="15"/>
      <c r="M3" s="15">
        <v>16</v>
      </c>
      <c r="N3" s="15">
        <v>7</v>
      </c>
      <c r="O3" s="15">
        <v>6</v>
      </c>
      <c r="P3" s="15">
        <v>1</v>
      </c>
      <c r="Q3" s="15"/>
      <c r="R3" s="15">
        <v>2</v>
      </c>
      <c r="S3" s="15"/>
      <c r="T3" s="16">
        <v>12</v>
      </c>
      <c r="U3" s="15"/>
      <c r="V3" s="15"/>
      <c r="W3" s="15"/>
      <c r="X3" s="15">
        <v>2</v>
      </c>
      <c r="Y3" s="15"/>
      <c r="Z3" s="15"/>
      <c r="AA3" s="15">
        <v>1</v>
      </c>
      <c r="AB3" s="16">
        <v>0</v>
      </c>
      <c r="AC3" s="17">
        <v>1</v>
      </c>
      <c r="AD3" s="102">
        <v>100</v>
      </c>
      <c r="AE3" s="16"/>
      <c r="AF3" s="16"/>
      <c r="AG3" s="16"/>
      <c r="AH3" s="18"/>
      <c r="AI3" s="19" t="s">
        <v>51</v>
      </c>
      <c r="AJ3" s="19" t="s">
        <v>52</v>
      </c>
      <c r="AK3" s="19" t="s">
        <v>53</v>
      </c>
      <c r="AL3" s="12"/>
      <c r="AM3" s="18">
        <v>1521763200</v>
      </c>
      <c r="AN3" s="18">
        <v>1522108800</v>
      </c>
      <c r="AO3" s="18">
        <v>1521936000</v>
      </c>
      <c r="AR3" s="222" t="s">
        <v>12</v>
      </c>
    </row>
    <row r="4" spans="1:65" x14ac:dyDescent="0.45">
      <c r="A4" s="142">
        <v>2018</v>
      </c>
      <c r="B4" t="s">
        <v>70</v>
      </c>
      <c r="C4" s="20" t="s">
        <v>39</v>
      </c>
      <c r="D4" s="21">
        <v>43184</v>
      </c>
      <c r="E4" s="21">
        <v>43194</v>
      </c>
      <c r="F4" s="22" t="s">
        <v>54</v>
      </c>
      <c r="G4" s="23" t="s">
        <v>44</v>
      </c>
      <c r="H4" s="22"/>
      <c r="I4" s="24" t="s">
        <v>45</v>
      </c>
      <c r="J4" s="25">
        <v>1000</v>
      </c>
      <c r="K4" s="26">
        <v>46</v>
      </c>
      <c r="L4" s="27"/>
      <c r="M4" s="26">
        <v>19</v>
      </c>
      <c r="N4" s="26">
        <v>7</v>
      </c>
      <c r="O4" s="26">
        <v>9</v>
      </c>
      <c r="P4" s="26">
        <v>1</v>
      </c>
      <c r="Q4" s="26"/>
      <c r="R4" s="26">
        <v>2</v>
      </c>
      <c r="S4" s="26"/>
      <c r="T4" s="26">
        <v>14</v>
      </c>
      <c r="U4" s="26"/>
      <c r="V4" s="26"/>
      <c r="W4" s="26"/>
      <c r="X4" s="26">
        <v>1</v>
      </c>
      <c r="Y4" s="26"/>
      <c r="Z4" s="26"/>
      <c r="AA4" s="27">
        <v>1</v>
      </c>
      <c r="AB4" s="26">
        <v>0</v>
      </c>
      <c r="AC4" s="28">
        <v>1</v>
      </c>
      <c r="AD4" s="102">
        <v>100</v>
      </c>
      <c r="AE4" s="26">
        <v>59</v>
      </c>
      <c r="AF4" s="26"/>
      <c r="AG4" s="26"/>
      <c r="AH4" s="29"/>
      <c r="AI4" s="30" t="s">
        <v>55</v>
      </c>
      <c r="AJ4" s="31" t="s">
        <v>56</v>
      </c>
      <c r="AK4" s="22" t="s">
        <v>57</v>
      </c>
      <c r="AL4" s="22" t="s">
        <v>58</v>
      </c>
      <c r="AM4" s="29">
        <v>1521936000</v>
      </c>
      <c r="AN4" s="29">
        <v>1522800000</v>
      </c>
      <c r="AO4" s="29">
        <v>1522368000</v>
      </c>
      <c r="AR4" s="224" t="s">
        <v>21</v>
      </c>
    </row>
    <row r="5" spans="1:65" x14ac:dyDescent="0.45">
      <c r="A5" s="142">
        <v>2018</v>
      </c>
      <c r="B5" t="s">
        <v>70</v>
      </c>
      <c r="C5" s="32" t="s">
        <v>39</v>
      </c>
      <c r="D5" s="33">
        <v>43187</v>
      </c>
      <c r="E5" s="33">
        <v>43190</v>
      </c>
      <c r="F5" s="34" t="s">
        <v>59</v>
      </c>
      <c r="G5" s="35" t="s">
        <v>44</v>
      </c>
      <c r="H5" s="34"/>
      <c r="I5" s="34" t="s">
        <v>41</v>
      </c>
      <c r="J5" s="36">
        <v>1000</v>
      </c>
      <c r="K5" s="37">
        <v>51</v>
      </c>
      <c r="L5" s="37"/>
      <c r="M5" s="37">
        <v>13</v>
      </c>
      <c r="N5" s="37">
        <v>7</v>
      </c>
      <c r="O5" s="37">
        <v>6</v>
      </c>
      <c r="P5" s="37">
        <v>1</v>
      </c>
      <c r="Q5" s="37"/>
      <c r="R5" s="37"/>
      <c r="S5" s="37"/>
      <c r="T5" s="37">
        <v>15</v>
      </c>
      <c r="U5" s="37"/>
      <c r="V5" s="37"/>
      <c r="W5" s="37"/>
      <c r="X5" s="37"/>
      <c r="Y5" s="37"/>
      <c r="Z5" s="37"/>
      <c r="AA5" s="37">
        <v>7</v>
      </c>
      <c r="AB5" s="37">
        <v>0</v>
      </c>
      <c r="AC5" s="38">
        <v>1</v>
      </c>
      <c r="AD5" s="102">
        <v>100</v>
      </c>
      <c r="AE5" s="37"/>
      <c r="AF5" s="37"/>
      <c r="AG5" s="37"/>
      <c r="AH5" s="39"/>
      <c r="AI5" s="40" t="s">
        <v>60</v>
      </c>
      <c r="AJ5" s="40" t="s">
        <v>61</v>
      </c>
      <c r="AK5" s="34" t="s">
        <v>62</v>
      </c>
      <c r="AL5" s="34"/>
      <c r="AM5" s="39">
        <v>1522195200</v>
      </c>
      <c r="AN5" s="39">
        <v>1522454400</v>
      </c>
      <c r="AO5" s="39">
        <v>1522324800</v>
      </c>
      <c r="AR5" s="223" t="s">
        <v>22</v>
      </c>
    </row>
    <row r="6" spans="1:65" x14ac:dyDescent="0.45">
      <c r="A6" s="142">
        <v>2018</v>
      </c>
      <c r="B6" s="103" t="s">
        <v>70</v>
      </c>
      <c r="C6" s="104" t="s">
        <v>39</v>
      </c>
      <c r="D6" s="105">
        <v>43187</v>
      </c>
      <c r="E6" s="105">
        <v>43194</v>
      </c>
      <c r="F6" s="106" t="s">
        <v>74</v>
      </c>
      <c r="G6" s="107">
        <v>1</v>
      </c>
      <c r="H6" s="106"/>
      <c r="I6" s="106"/>
      <c r="J6" s="108"/>
      <c r="K6" s="109">
        <v>45</v>
      </c>
      <c r="L6" s="109"/>
      <c r="M6" s="109">
        <v>20</v>
      </c>
      <c r="N6" s="109">
        <v>7</v>
      </c>
      <c r="O6" s="109">
        <v>5</v>
      </c>
      <c r="P6" s="109"/>
      <c r="Q6" s="109"/>
      <c r="R6" s="109">
        <v>2</v>
      </c>
      <c r="S6" s="109"/>
      <c r="T6" s="109">
        <v>19</v>
      </c>
      <c r="U6" s="109"/>
      <c r="V6" s="109"/>
      <c r="W6" s="109"/>
      <c r="X6" s="109"/>
      <c r="Y6" s="109"/>
      <c r="Z6" s="109"/>
      <c r="AA6" s="109">
        <v>1</v>
      </c>
      <c r="AB6" s="109"/>
      <c r="AC6" s="110"/>
      <c r="AD6" s="102"/>
      <c r="AE6" s="109"/>
      <c r="AF6" s="109"/>
      <c r="AG6" s="109"/>
      <c r="AH6" s="111"/>
      <c r="AI6" s="112"/>
      <c r="AJ6" s="112"/>
      <c r="AK6" s="106"/>
      <c r="AL6" s="106"/>
      <c r="AM6" s="111"/>
      <c r="AN6" s="111"/>
      <c r="AO6" s="111"/>
      <c r="AP6" s="1" t="s">
        <v>91</v>
      </c>
      <c r="AR6" s="219" t="s">
        <v>23</v>
      </c>
    </row>
    <row r="7" spans="1:65" x14ac:dyDescent="0.45">
      <c r="A7" s="142">
        <v>2018</v>
      </c>
      <c r="B7" s="103" t="s">
        <v>70</v>
      </c>
      <c r="C7" s="113" t="s">
        <v>39</v>
      </c>
      <c r="D7" s="114">
        <v>43187</v>
      </c>
      <c r="E7" s="114">
        <v>43190</v>
      </c>
      <c r="F7" s="115" t="s">
        <v>88</v>
      </c>
      <c r="G7" s="95">
        <v>1</v>
      </c>
      <c r="H7" s="115"/>
      <c r="I7" s="115"/>
      <c r="J7" s="116"/>
      <c r="K7" s="117">
        <v>39</v>
      </c>
      <c r="L7" s="117"/>
      <c r="M7" s="117">
        <v>21</v>
      </c>
      <c r="N7" s="117">
        <v>6</v>
      </c>
      <c r="O7" s="117">
        <v>13</v>
      </c>
      <c r="P7" s="117">
        <v>2</v>
      </c>
      <c r="Q7" s="117"/>
      <c r="R7" s="117">
        <v>1</v>
      </c>
      <c r="S7" s="117"/>
      <c r="T7" s="117">
        <v>12</v>
      </c>
      <c r="U7" s="117"/>
      <c r="V7" s="117"/>
      <c r="W7" s="117"/>
      <c r="X7" s="117"/>
      <c r="Y7" s="117"/>
      <c r="Z7" s="117"/>
      <c r="AA7" s="117">
        <v>6</v>
      </c>
      <c r="AB7" s="117"/>
      <c r="AC7" s="118"/>
      <c r="AD7" s="102"/>
      <c r="AE7" s="117"/>
      <c r="AF7" s="117"/>
      <c r="AG7" s="117"/>
      <c r="AH7" s="119"/>
      <c r="AI7" s="120"/>
      <c r="AJ7" s="120"/>
      <c r="AK7" s="115"/>
      <c r="AL7" s="115"/>
      <c r="AM7" s="119"/>
      <c r="AN7" s="119"/>
      <c r="AO7" s="119"/>
      <c r="AP7" t="s">
        <v>91</v>
      </c>
    </row>
    <row r="8" spans="1:65" x14ac:dyDescent="0.45">
      <c r="A8" s="142">
        <v>2018</v>
      </c>
      <c r="B8" s="103" t="s">
        <v>70</v>
      </c>
      <c r="C8" s="121" t="s">
        <v>39</v>
      </c>
      <c r="D8" s="122">
        <v>43193</v>
      </c>
      <c r="E8" s="122">
        <v>43196</v>
      </c>
      <c r="F8" s="123" t="s">
        <v>84</v>
      </c>
      <c r="G8" s="124">
        <v>1</v>
      </c>
      <c r="H8" s="123"/>
      <c r="I8" s="123"/>
      <c r="J8" s="125"/>
      <c r="K8" s="126">
        <v>41</v>
      </c>
      <c r="L8" s="126"/>
      <c r="M8" s="126">
        <v>25</v>
      </c>
      <c r="N8" s="126">
        <v>7</v>
      </c>
      <c r="O8" s="126">
        <v>7</v>
      </c>
      <c r="P8" s="126">
        <v>1</v>
      </c>
      <c r="Q8" s="126"/>
      <c r="R8" s="126">
        <v>2</v>
      </c>
      <c r="S8" s="126"/>
      <c r="T8" s="126">
        <v>13</v>
      </c>
      <c r="U8" s="126"/>
      <c r="V8" s="126"/>
      <c r="W8" s="126"/>
      <c r="X8" s="126">
        <v>2</v>
      </c>
      <c r="Y8" s="126"/>
      <c r="Z8" s="126"/>
      <c r="AA8" s="126">
        <v>2</v>
      </c>
      <c r="AB8" s="126"/>
      <c r="AC8" s="127"/>
      <c r="AD8" s="102"/>
      <c r="AE8" s="126"/>
      <c r="AF8" s="126"/>
      <c r="AG8" s="126"/>
      <c r="AH8" s="128"/>
      <c r="AI8" s="129"/>
      <c r="AJ8" s="129"/>
      <c r="AK8" s="123"/>
      <c r="AL8" s="123"/>
      <c r="AM8" s="128"/>
      <c r="AN8" s="128"/>
      <c r="AO8" s="128"/>
      <c r="AP8" t="s">
        <v>91</v>
      </c>
    </row>
    <row r="9" spans="1:65" s="1" customFormat="1" x14ac:dyDescent="0.45">
      <c r="A9" s="142">
        <v>2014</v>
      </c>
      <c r="B9" t="s">
        <v>70</v>
      </c>
      <c r="C9" s="130" t="s">
        <v>39</v>
      </c>
      <c r="D9" s="131">
        <v>41729</v>
      </c>
      <c r="E9" s="131">
        <v>41731</v>
      </c>
      <c r="F9" s="132" t="s">
        <v>40</v>
      </c>
      <c r="G9" s="133">
        <v>1</v>
      </c>
      <c r="H9" s="134"/>
      <c r="I9" s="134" t="s">
        <v>45</v>
      </c>
      <c r="J9" s="135">
        <v>1500</v>
      </c>
      <c r="K9" s="136">
        <v>47</v>
      </c>
      <c r="L9" s="136"/>
      <c r="M9" s="136">
        <v>19</v>
      </c>
      <c r="N9" s="136">
        <v>5</v>
      </c>
      <c r="O9" s="136"/>
      <c r="P9" s="136"/>
      <c r="Q9" s="136"/>
      <c r="R9" s="136"/>
      <c r="S9" s="136">
        <v>28</v>
      </c>
      <c r="T9" s="136"/>
      <c r="U9" s="136"/>
      <c r="V9" s="136"/>
      <c r="W9" s="137"/>
      <c r="X9" s="136"/>
      <c r="Y9" s="137"/>
      <c r="Z9" s="136"/>
      <c r="AA9" s="137"/>
      <c r="AB9" s="137">
        <v>0</v>
      </c>
      <c r="AC9" s="138">
        <v>1.0101010101010102</v>
      </c>
      <c r="AD9" s="102">
        <v>99</v>
      </c>
      <c r="AE9" s="137"/>
      <c r="AF9" s="137"/>
      <c r="AG9" s="137"/>
      <c r="AH9" s="139" t="s">
        <v>42</v>
      </c>
      <c r="AI9" s="140" t="s">
        <v>63</v>
      </c>
      <c r="AJ9" s="140" t="s">
        <v>64</v>
      </c>
      <c r="AK9" s="140"/>
      <c r="AL9" s="134" t="s">
        <v>65</v>
      </c>
      <c r="AM9" s="141">
        <v>1396224000</v>
      </c>
      <c r="AN9" s="141">
        <v>1396396800</v>
      </c>
      <c r="AO9" s="141">
        <v>1396310400</v>
      </c>
    </row>
    <row r="10" spans="1:65" s="1" customFormat="1" x14ac:dyDescent="0.45">
      <c r="A10" s="142">
        <v>2014</v>
      </c>
      <c r="B10" t="s">
        <v>70</v>
      </c>
      <c r="C10" s="41" t="s">
        <v>39</v>
      </c>
      <c r="D10" s="42">
        <v>41725</v>
      </c>
      <c r="E10" s="42">
        <v>41728</v>
      </c>
      <c r="F10" s="43" t="s">
        <v>59</v>
      </c>
      <c r="G10" s="44">
        <v>1</v>
      </c>
      <c r="H10" s="45"/>
      <c r="I10" s="46" t="s">
        <v>41</v>
      </c>
      <c r="J10" s="47">
        <v>1000</v>
      </c>
      <c r="K10" s="48">
        <v>51</v>
      </c>
      <c r="L10" s="48"/>
      <c r="M10" s="48">
        <v>18</v>
      </c>
      <c r="N10" s="48">
        <v>5</v>
      </c>
      <c r="O10" s="48"/>
      <c r="P10" s="48"/>
      <c r="Q10" s="48"/>
      <c r="R10" s="48"/>
      <c r="S10" s="48">
        <v>25</v>
      </c>
      <c r="T10" s="48"/>
      <c r="U10" s="48"/>
      <c r="V10" s="48"/>
      <c r="W10" s="49"/>
      <c r="X10" s="48"/>
      <c r="Y10" s="49"/>
      <c r="Z10" s="48"/>
      <c r="AA10" s="50">
        <v>1</v>
      </c>
      <c r="AB10" s="49">
        <v>0</v>
      </c>
      <c r="AC10" s="51">
        <v>1</v>
      </c>
      <c r="AD10" s="102">
        <v>100</v>
      </c>
      <c r="AE10" s="49"/>
      <c r="AF10" s="49"/>
      <c r="AG10" s="49"/>
      <c r="AH10" s="52" t="s">
        <v>42</v>
      </c>
      <c r="AI10" s="53"/>
      <c r="AJ10" s="53" t="s">
        <v>66</v>
      </c>
      <c r="AK10" s="53" t="s">
        <v>67</v>
      </c>
      <c r="AL10" s="45"/>
      <c r="AM10" s="54">
        <v>1395878400</v>
      </c>
      <c r="AN10" s="54">
        <v>1396137600</v>
      </c>
      <c r="AO10" s="54">
        <v>1396008000</v>
      </c>
    </row>
    <row r="11" spans="1:65" x14ac:dyDescent="0.45">
      <c r="A11" s="142">
        <v>2014</v>
      </c>
      <c r="B11" t="s">
        <v>70</v>
      </c>
      <c r="C11" s="55" t="s">
        <v>39</v>
      </c>
      <c r="D11" s="56">
        <v>41719</v>
      </c>
      <c r="E11" s="56">
        <v>41723</v>
      </c>
      <c r="F11" s="57" t="s">
        <v>50</v>
      </c>
      <c r="G11" s="58">
        <v>1</v>
      </c>
      <c r="H11" s="57"/>
      <c r="I11" s="57" t="s">
        <v>45</v>
      </c>
      <c r="J11" s="59">
        <v>1200</v>
      </c>
      <c r="K11" s="60">
        <v>47</v>
      </c>
      <c r="L11" s="60"/>
      <c r="M11" s="60">
        <v>21</v>
      </c>
      <c r="N11" s="60">
        <v>3</v>
      </c>
      <c r="O11" s="60"/>
      <c r="P11" s="60"/>
      <c r="Q11" s="60"/>
      <c r="R11" s="60"/>
      <c r="S11" s="60">
        <v>23</v>
      </c>
      <c r="T11" s="60"/>
      <c r="U11" s="60"/>
      <c r="V11" s="60"/>
      <c r="W11" s="61"/>
      <c r="X11" s="60"/>
      <c r="Y11" s="60"/>
      <c r="Z11" s="61"/>
      <c r="AA11" s="62">
        <v>6</v>
      </c>
      <c r="AB11" s="63">
        <v>0</v>
      </c>
      <c r="AC11" s="63">
        <v>0.99</v>
      </c>
      <c r="AD11" s="102">
        <v>100</v>
      </c>
      <c r="AE11" s="61"/>
      <c r="AF11" s="61"/>
      <c r="AG11" s="64"/>
      <c r="AH11" s="64" t="s">
        <v>42</v>
      </c>
      <c r="AI11" s="65" t="s">
        <v>68</v>
      </c>
      <c r="AJ11" s="66"/>
      <c r="AK11" s="67" t="s">
        <v>69</v>
      </c>
      <c r="AL11" s="64"/>
      <c r="AM11" s="68">
        <v>1395360000</v>
      </c>
      <c r="AN11" s="68">
        <v>1395705600</v>
      </c>
      <c r="AO11" s="68">
        <v>1395532800</v>
      </c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</row>
    <row r="12" spans="1:65" x14ac:dyDescent="0.45">
      <c r="A12" s="142">
        <v>2019</v>
      </c>
      <c r="B12" t="s">
        <v>71</v>
      </c>
      <c r="C12" s="2" t="s">
        <v>39</v>
      </c>
      <c r="D12" s="3">
        <v>43610</v>
      </c>
      <c r="E12" s="3">
        <v>43611</v>
      </c>
      <c r="F12" s="4" t="s">
        <v>40</v>
      </c>
      <c r="G12" s="5" t="s">
        <v>44</v>
      </c>
      <c r="H12" s="4" t="s">
        <v>71</v>
      </c>
      <c r="I12" s="4" t="s">
        <v>41</v>
      </c>
      <c r="J12" s="5">
        <v>1000</v>
      </c>
      <c r="K12" s="6">
        <v>56</v>
      </c>
      <c r="L12" s="6"/>
      <c r="M12" s="6">
        <v>9</v>
      </c>
      <c r="N12" s="6">
        <v>3</v>
      </c>
      <c r="O12" s="6">
        <v>10</v>
      </c>
      <c r="P12" s="6"/>
      <c r="Q12" s="6"/>
      <c r="R12" s="6">
        <v>7</v>
      </c>
      <c r="S12" s="6"/>
      <c r="T12" s="6">
        <v>10</v>
      </c>
      <c r="U12" s="6"/>
      <c r="V12" s="6"/>
      <c r="W12" s="6"/>
      <c r="X12" s="6">
        <v>2</v>
      </c>
      <c r="Y12" s="6">
        <v>3</v>
      </c>
      <c r="Z12" s="6"/>
      <c r="AA12" s="6"/>
      <c r="AB12" s="6">
        <v>0</v>
      </c>
      <c r="AC12" s="7">
        <v>1</v>
      </c>
      <c r="AD12" s="102">
        <v>100</v>
      </c>
      <c r="AE12" s="6"/>
      <c r="AF12" s="6"/>
      <c r="AG12" s="6"/>
      <c r="AH12" s="6"/>
      <c r="AI12" s="8" t="s">
        <v>72</v>
      </c>
      <c r="AJ12" s="4"/>
      <c r="AK12" s="4"/>
      <c r="AL12" s="4" t="s">
        <v>73</v>
      </c>
      <c r="AM12" s="8">
        <v>1558742400</v>
      </c>
      <c r="AN12" s="8">
        <v>1558828800</v>
      </c>
      <c r="AO12" s="8">
        <v>1558785600</v>
      </c>
    </row>
    <row r="13" spans="1:65" x14ac:dyDescent="0.45">
      <c r="A13" s="142">
        <v>2019</v>
      </c>
      <c r="B13" s="103" t="s">
        <v>71</v>
      </c>
      <c r="C13" s="70" t="s">
        <v>39</v>
      </c>
      <c r="D13" s="71">
        <v>43602</v>
      </c>
      <c r="E13" s="71">
        <v>43608</v>
      </c>
      <c r="F13" s="72" t="s">
        <v>74</v>
      </c>
      <c r="G13" s="73" t="s">
        <v>44</v>
      </c>
      <c r="H13" s="72"/>
      <c r="I13" s="72"/>
      <c r="J13" s="73"/>
      <c r="K13" s="74">
        <v>52</v>
      </c>
      <c r="L13" s="74"/>
      <c r="M13" s="74">
        <v>15</v>
      </c>
      <c r="N13" s="74">
        <v>4</v>
      </c>
      <c r="O13" s="74">
        <v>7</v>
      </c>
      <c r="P13" s="74"/>
      <c r="Q13" s="74"/>
      <c r="R13" s="74">
        <v>6</v>
      </c>
      <c r="S13" s="74"/>
      <c r="T13" s="74">
        <v>16</v>
      </c>
      <c r="U13" s="74"/>
      <c r="V13" s="74"/>
      <c r="W13" s="74"/>
      <c r="X13" s="74"/>
      <c r="Y13" s="74"/>
      <c r="Z13" s="74"/>
      <c r="AA13" s="74"/>
      <c r="AB13" s="74"/>
      <c r="AC13" s="76">
        <v>1</v>
      </c>
      <c r="AD13" s="102">
        <v>100</v>
      </c>
      <c r="AE13" s="74"/>
      <c r="AF13" s="74"/>
      <c r="AG13" s="74"/>
      <c r="AH13" s="77"/>
      <c r="AI13" s="78" t="s">
        <v>75</v>
      </c>
      <c r="AJ13" s="78"/>
      <c r="AK13" s="78"/>
      <c r="AL13" s="72"/>
      <c r="AM13" s="77">
        <v>1557964800</v>
      </c>
      <c r="AN13" s="77">
        <v>1558483200</v>
      </c>
      <c r="AO13" s="77">
        <v>1558224000</v>
      </c>
      <c r="AP13" t="s">
        <v>149</v>
      </c>
    </row>
    <row r="14" spans="1:65" x14ac:dyDescent="0.45">
      <c r="A14" s="142">
        <v>2019</v>
      </c>
      <c r="B14" t="s">
        <v>71</v>
      </c>
      <c r="C14" s="10" t="s">
        <v>39</v>
      </c>
      <c r="D14" s="11">
        <v>43600</v>
      </c>
      <c r="E14" s="11">
        <v>43603</v>
      </c>
      <c r="F14" s="12" t="s">
        <v>50</v>
      </c>
      <c r="G14" s="13" t="s">
        <v>44</v>
      </c>
      <c r="H14" s="12" t="s">
        <v>71</v>
      </c>
      <c r="I14" s="12" t="s">
        <v>45</v>
      </c>
      <c r="J14" s="14">
        <v>1200</v>
      </c>
      <c r="K14" s="16">
        <v>55</v>
      </c>
      <c r="L14" s="16"/>
      <c r="M14" s="16">
        <v>12</v>
      </c>
      <c r="N14" s="16">
        <v>4</v>
      </c>
      <c r="O14" s="16">
        <v>10</v>
      </c>
      <c r="P14" s="16"/>
      <c r="Q14" s="16"/>
      <c r="R14" s="16">
        <v>5</v>
      </c>
      <c r="S14" s="16"/>
      <c r="T14" s="16">
        <v>11</v>
      </c>
      <c r="U14" s="16"/>
      <c r="V14" s="16"/>
      <c r="W14" s="16"/>
      <c r="X14" s="16">
        <v>1</v>
      </c>
      <c r="Y14" s="16">
        <v>2</v>
      </c>
      <c r="Z14" s="16"/>
      <c r="AA14" s="16">
        <v>0</v>
      </c>
      <c r="AB14" s="16">
        <v>0</v>
      </c>
      <c r="AC14" s="17">
        <v>1</v>
      </c>
      <c r="AD14" s="102">
        <v>100</v>
      </c>
      <c r="AE14" s="16"/>
      <c r="AF14" s="16"/>
      <c r="AG14" s="16"/>
      <c r="AH14" s="18"/>
      <c r="AI14" s="12" t="s">
        <v>76</v>
      </c>
      <c r="AJ14" s="19" t="s">
        <v>77</v>
      </c>
      <c r="AK14" s="12"/>
      <c r="AL14" s="12"/>
      <c r="AM14" s="18">
        <v>1557878400</v>
      </c>
      <c r="AN14" s="18">
        <v>1558137600</v>
      </c>
      <c r="AO14" s="18">
        <v>1558008000</v>
      </c>
    </row>
    <row r="15" spans="1:65" x14ac:dyDescent="0.45">
      <c r="A15" s="142">
        <v>2019</v>
      </c>
      <c r="B15" t="s">
        <v>71</v>
      </c>
      <c r="C15" s="32" t="s">
        <v>39</v>
      </c>
      <c r="D15" s="79">
        <v>43595</v>
      </c>
      <c r="E15" s="79">
        <v>43603</v>
      </c>
      <c r="F15" s="34" t="s">
        <v>59</v>
      </c>
      <c r="G15" s="35" t="s">
        <v>44</v>
      </c>
      <c r="H15" s="34" t="s">
        <v>71</v>
      </c>
      <c r="I15" s="34" t="s">
        <v>41</v>
      </c>
      <c r="J15" s="35">
        <v>1000</v>
      </c>
      <c r="K15" s="37">
        <v>54.8</v>
      </c>
      <c r="L15" s="37"/>
      <c r="M15" s="37">
        <v>9.6999999999999993</v>
      </c>
      <c r="N15" s="37">
        <v>3.2</v>
      </c>
      <c r="O15" s="37">
        <v>11.8</v>
      </c>
      <c r="P15" s="37"/>
      <c r="Q15" s="37"/>
      <c r="R15" s="37">
        <v>6.5</v>
      </c>
      <c r="S15" s="37"/>
      <c r="T15" s="37">
        <v>7.5</v>
      </c>
      <c r="U15" s="37"/>
      <c r="V15" s="37"/>
      <c r="W15" s="37"/>
      <c r="X15" s="80"/>
      <c r="Y15" s="37">
        <v>3.2</v>
      </c>
      <c r="Z15" s="37"/>
      <c r="AA15" s="37">
        <v>3.2</v>
      </c>
      <c r="AB15" s="37">
        <v>0</v>
      </c>
      <c r="AC15" s="38">
        <v>1.0010010010010009</v>
      </c>
      <c r="AD15" s="102">
        <v>99.9</v>
      </c>
      <c r="AE15" s="37"/>
      <c r="AF15" s="37"/>
      <c r="AG15" s="37"/>
      <c r="AH15" s="39"/>
      <c r="AI15" s="40" t="s">
        <v>78</v>
      </c>
      <c r="AJ15" s="34" t="s">
        <v>79</v>
      </c>
      <c r="AK15" s="34"/>
      <c r="AL15" s="34" t="s">
        <v>80</v>
      </c>
      <c r="AM15" s="39">
        <v>1557446400</v>
      </c>
      <c r="AN15" s="39">
        <v>1558137600</v>
      </c>
      <c r="AO15" s="39">
        <v>1557792000</v>
      </c>
    </row>
    <row r="16" spans="1:65" x14ac:dyDescent="0.45">
      <c r="A16" s="142">
        <v>2019</v>
      </c>
      <c r="B16" t="s">
        <v>71</v>
      </c>
      <c r="C16" s="20" t="s">
        <v>39</v>
      </c>
      <c r="D16" s="81">
        <v>43589</v>
      </c>
      <c r="E16" s="81">
        <v>43599</v>
      </c>
      <c r="F16" s="22" t="s">
        <v>54</v>
      </c>
      <c r="G16" s="23" t="s">
        <v>44</v>
      </c>
      <c r="H16" s="22" t="s">
        <v>71</v>
      </c>
      <c r="I16" s="22" t="s">
        <v>45</v>
      </c>
      <c r="J16" s="23">
        <v>1000</v>
      </c>
      <c r="K16" s="26">
        <v>53</v>
      </c>
      <c r="L16" s="26"/>
      <c r="M16" s="26">
        <v>12</v>
      </c>
      <c r="N16" s="26">
        <v>5</v>
      </c>
      <c r="O16" s="26">
        <v>11</v>
      </c>
      <c r="P16" s="26"/>
      <c r="Q16" s="26"/>
      <c r="R16" s="26">
        <v>4</v>
      </c>
      <c r="S16" s="26"/>
      <c r="T16" s="27">
        <v>12</v>
      </c>
      <c r="U16" s="26"/>
      <c r="V16" s="26"/>
      <c r="W16" s="26"/>
      <c r="X16" s="26">
        <v>2</v>
      </c>
      <c r="Y16" s="26">
        <v>2</v>
      </c>
      <c r="Z16" s="26"/>
      <c r="AA16" s="26">
        <v>0</v>
      </c>
      <c r="AB16" s="26">
        <v>0</v>
      </c>
      <c r="AC16" s="28">
        <v>0.99009900990099009</v>
      </c>
      <c r="AD16" s="102">
        <v>101</v>
      </c>
      <c r="AE16" s="26"/>
      <c r="AF16" s="26"/>
      <c r="AG16" s="26"/>
      <c r="AH16" s="29"/>
      <c r="AI16" s="31" t="s">
        <v>81</v>
      </c>
      <c r="AJ16" s="31" t="s">
        <v>82</v>
      </c>
      <c r="AK16" s="22" t="s">
        <v>82</v>
      </c>
      <c r="AL16" s="22" t="s">
        <v>83</v>
      </c>
      <c r="AM16" s="29">
        <v>1556928000</v>
      </c>
      <c r="AN16" s="29">
        <v>1557792000</v>
      </c>
      <c r="AO16" s="29">
        <v>1557360000</v>
      </c>
    </row>
    <row r="17" spans="1:42" x14ac:dyDescent="0.45">
      <c r="A17" s="142">
        <v>2019</v>
      </c>
      <c r="B17" t="s">
        <v>71</v>
      </c>
      <c r="C17" s="83" t="s">
        <v>39</v>
      </c>
      <c r="D17" s="84">
        <v>43591</v>
      </c>
      <c r="E17" s="84">
        <v>43596</v>
      </c>
      <c r="F17" s="85" t="s">
        <v>84</v>
      </c>
      <c r="G17" s="86" t="s">
        <v>44</v>
      </c>
      <c r="H17" s="85" t="s">
        <v>71</v>
      </c>
      <c r="I17" s="85" t="s">
        <v>41</v>
      </c>
      <c r="J17" s="86">
        <v>1000</v>
      </c>
      <c r="K17" s="87">
        <v>50</v>
      </c>
      <c r="L17" s="87"/>
      <c r="M17" s="87">
        <v>14</v>
      </c>
      <c r="N17" s="87">
        <v>5</v>
      </c>
      <c r="O17" s="87">
        <v>8</v>
      </c>
      <c r="P17" s="87"/>
      <c r="Q17" s="87"/>
      <c r="R17" s="87">
        <v>6</v>
      </c>
      <c r="S17" s="87"/>
      <c r="T17" s="88">
        <v>9</v>
      </c>
      <c r="U17" s="87"/>
      <c r="V17" s="87"/>
      <c r="W17" s="87"/>
      <c r="X17" s="87">
        <v>4</v>
      </c>
      <c r="Y17" s="87">
        <v>2</v>
      </c>
      <c r="Z17" s="87"/>
      <c r="AA17" s="87">
        <v>2</v>
      </c>
      <c r="AB17" s="87">
        <v>0</v>
      </c>
      <c r="AC17" s="89">
        <v>1</v>
      </c>
      <c r="AD17" s="102">
        <v>100</v>
      </c>
      <c r="AE17" s="87"/>
      <c r="AF17" s="87"/>
      <c r="AG17" s="87"/>
      <c r="AH17" s="90"/>
      <c r="AI17" s="91" t="s">
        <v>85</v>
      </c>
      <c r="AJ17" s="91" t="s">
        <v>86</v>
      </c>
      <c r="AK17" s="85"/>
      <c r="AL17" s="85" t="s">
        <v>87</v>
      </c>
      <c r="AM17" s="90">
        <v>1557100800</v>
      </c>
      <c r="AN17" s="90">
        <v>1557532800</v>
      </c>
      <c r="AO17" s="90">
        <v>1557316800</v>
      </c>
    </row>
    <row r="18" spans="1:42" x14ac:dyDescent="0.45">
      <c r="A18" s="142">
        <v>2019</v>
      </c>
      <c r="B18" t="s">
        <v>71</v>
      </c>
      <c r="C18" s="92" t="s">
        <v>39</v>
      </c>
      <c r="D18" s="93">
        <v>43587</v>
      </c>
      <c r="E18" s="93">
        <v>43591</v>
      </c>
      <c r="F18" s="94" t="s">
        <v>88</v>
      </c>
      <c r="G18" s="95" t="s">
        <v>44</v>
      </c>
      <c r="H18" s="94" t="s">
        <v>71</v>
      </c>
      <c r="I18" s="94" t="s">
        <v>89</v>
      </c>
      <c r="J18" s="95">
        <v>2000</v>
      </c>
      <c r="K18" s="96">
        <v>50</v>
      </c>
      <c r="L18" s="96">
        <v>10</v>
      </c>
      <c r="M18" s="96">
        <v>13</v>
      </c>
      <c r="N18" s="96">
        <v>5</v>
      </c>
      <c r="O18" s="96">
        <v>9</v>
      </c>
      <c r="P18" s="96"/>
      <c r="Q18" s="96">
        <v>2</v>
      </c>
      <c r="R18" s="96">
        <v>4</v>
      </c>
      <c r="S18" s="96"/>
      <c r="T18" s="97"/>
      <c r="U18" s="96"/>
      <c r="V18" s="96"/>
      <c r="W18" s="96"/>
      <c r="X18" s="96">
        <v>4</v>
      </c>
      <c r="Y18" s="96">
        <v>2</v>
      </c>
      <c r="Z18" s="96"/>
      <c r="AA18" s="96">
        <v>1</v>
      </c>
      <c r="AB18" s="96">
        <v>0</v>
      </c>
      <c r="AC18" s="98">
        <v>1</v>
      </c>
      <c r="AD18" s="102">
        <v>100</v>
      </c>
      <c r="AE18" s="96"/>
      <c r="AF18" s="96"/>
      <c r="AG18" s="96"/>
      <c r="AH18" s="99"/>
      <c r="AI18" s="100" t="s">
        <v>90</v>
      </c>
      <c r="AJ18" s="101"/>
      <c r="AK18" s="94"/>
      <c r="AL18" s="94"/>
      <c r="AM18" s="99">
        <v>1556755200</v>
      </c>
      <c r="AN18" s="99">
        <v>1557100800</v>
      </c>
      <c r="AO18" s="99">
        <v>1556928000</v>
      </c>
    </row>
    <row r="19" spans="1:42" x14ac:dyDescent="0.45">
      <c r="A19" s="142">
        <v>2022</v>
      </c>
      <c r="B19" t="s">
        <v>70</v>
      </c>
      <c r="C19" s="70" t="s">
        <v>39</v>
      </c>
      <c r="D19" s="71">
        <v>44649</v>
      </c>
      <c r="E19" s="71">
        <v>44651</v>
      </c>
      <c r="F19" s="72" t="s">
        <v>74</v>
      </c>
      <c r="G19" s="73" t="s">
        <v>44</v>
      </c>
      <c r="H19" s="72" t="s">
        <v>92</v>
      </c>
      <c r="I19" s="72" t="s">
        <v>41</v>
      </c>
      <c r="J19" s="143">
        <v>1025</v>
      </c>
      <c r="K19" s="74">
        <v>47</v>
      </c>
      <c r="L19" s="74"/>
      <c r="M19" s="74"/>
      <c r="N19" s="74"/>
      <c r="O19" s="74"/>
      <c r="P19" s="74"/>
      <c r="Q19" s="74"/>
      <c r="R19" s="74"/>
      <c r="S19" s="74"/>
      <c r="T19" s="75"/>
      <c r="U19" s="74"/>
      <c r="V19" s="74"/>
      <c r="W19" s="74">
        <v>47</v>
      </c>
      <c r="X19" s="74">
        <v>2</v>
      </c>
      <c r="Y19" s="74">
        <v>3</v>
      </c>
      <c r="Z19" s="74"/>
      <c r="AA19" s="74">
        <v>1</v>
      </c>
      <c r="AB19" s="74">
        <v>0</v>
      </c>
      <c r="AC19" s="76">
        <v>1</v>
      </c>
      <c r="AD19" s="102">
        <v>100</v>
      </c>
      <c r="AE19" s="74"/>
      <c r="AF19" s="74"/>
      <c r="AG19" s="74"/>
      <c r="AH19" s="77"/>
      <c r="AI19" s="78" t="s">
        <v>93</v>
      </c>
      <c r="AJ19" s="78"/>
      <c r="AK19" s="78"/>
      <c r="AL19" s="72"/>
      <c r="AM19" s="77">
        <v>1648512000</v>
      </c>
      <c r="AN19" s="77">
        <v>1648684800</v>
      </c>
      <c r="AO19" s="77">
        <v>1648598400</v>
      </c>
    </row>
    <row r="20" spans="1:42" x14ac:dyDescent="0.45">
      <c r="A20" s="142">
        <v>2022</v>
      </c>
      <c r="B20" t="s">
        <v>70</v>
      </c>
      <c r="C20" s="92" t="s">
        <v>39</v>
      </c>
      <c r="D20" s="93">
        <v>44642</v>
      </c>
      <c r="E20" s="93">
        <v>44648</v>
      </c>
      <c r="F20" s="94" t="s">
        <v>88</v>
      </c>
      <c r="G20" s="95" t="s">
        <v>44</v>
      </c>
      <c r="H20" s="94" t="s">
        <v>92</v>
      </c>
      <c r="I20" s="94" t="s">
        <v>89</v>
      </c>
      <c r="J20" s="95">
        <v>1800</v>
      </c>
      <c r="K20" s="96">
        <v>50</v>
      </c>
      <c r="L20" s="96"/>
      <c r="M20" s="96"/>
      <c r="N20" s="96"/>
      <c r="O20" s="96"/>
      <c r="P20" s="96"/>
      <c r="Q20" s="96"/>
      <c r="R20" s="96"/>
      <c r="S20" s="96"/>
      <c r="T20" s="97"/>
      <c r="U20" s="96"/>
      <c r="V20" s="96"/>
      <c r="W20" s="96">
        <v>45</v>
      </c>
      <c r="X20" s="96">
        <v>2</v>
      </c>
      <c r="Y20" s="96">
        <v>3</v>
      </c>
      <c r="Z20" s="96"/>
      <c r="AA20" s="96">
        <v>0</v>
      </c>
      <c r="AB20" s="96">
        <v>0</v>
      </c>
      <c r="AC20" s="98">
        <v>1</v>
      </c>
      <c r="AD20" s="102">
        <v>100</v>
      </c>
      <c r="AE20" s="144"/>
      <c r="AF20" s="144"/>
      <c r="AG20" s="144"/>
      <c r="AH20" s="99" t="s">
        <v>94</v>
      </c>
      <c r="AI20" s="145" t="s">
        <v>95</v>
      </c>
      <c r="AJ20" s="101"/>
      <c r="AK20" s="101"/>
      <c r="AL20" s="94"/>
      <c r="AM20" s="99">
        <v>1647907200</v>
      </c>
      <c r="AN20" s="99">
        <v>1648425600</v>
      </c>
      <c r="AO20" s="99">
        <v>1648166400</v>
      </c>
    </row>
    <row r="21" spans="1:42" x14ac:dyDescent="0.45">
      <c r="A21" s="142">
        <v>2022</v>
      </c>
      <c r="B21" t="s">
        <v>70</v>
      </c>
      <c r="C21" s="32" t="s">
        <v>39</v>
      </c>
      <c r="D21" s="79">
        <v>44644</v>
      </c>
      <c r="E21" s="79">
        <v>44647</v>
      </c>
      <c r="F21" s="34" t="s">
        <v>59</v>
      </c>
      <c r="G21" s="35" t="s">
        <v>44</v>
      </c>
      <c r="H21" s="34" t="s">
        <v>92</v>
      </c>
      <c r="I21" s="34" t="s">
        <v>41</v>
      </c>
      <c r="J21" s="35">
        <v>1000</v>
      </c>
      <c r="K21" s="37">
        <v>49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>
        <v>44</v>
      </c>
      <c r="X21" s="37">
        <v>3</v>
      </c>
      <c r="Y21" s="37">
        <v>3</v>
      </c>
      <c r="Z21" s="37"/>
      <c r="AA21" s="37">
        <v>1</v>
      </c>
      <c r="AB21" s="37">
        <v>0</v>
      </c>
      <c r="AC21" s="38">
        <v>1</v>
      </c>
      <c r="AD21" s="102">
        <v>100</v>
      </c>
      <c r="AE21" s="37"/>
      <c r="AF21" s="37"/>
      <c r="AG21" s="37"/>
      <c r="AH21" s="39" t="s">
        <v>94</v>
      </c>
      <c r="AI21" s="146" t="s">
        <v>96</v>
      </c>
      <c r="AJ21" s="146" t="s">
        <v>97</v>
      </c>
      <c r="AK21" s="40" t="s">
        <v>98</v>
      </c>
      <c r="AL21" s="34" t="s">
        <v>99</v>
      </c>
      <c r="AM21" s="39">
        <v>1648080000</v>
      </c>
      <c r="AN21" s="39">
        <v>1648339200</v>
      </c>
      <c r="AO21" s="39">
        <v>1648209600</v>
      </c>
    </row>
    <row r="22" spans="1:42" x14ac:dyDescent="0.45">
      <c r="A22" s="142">
        <v>2022</v>
      </c>
      <c r="B22" t="s">
        <v>70</v>
      </c>
      <c r="C22" s="147" t="s">
        <v>100</v>
      </c>
      <c r="D22" s="148">
        <v>44650</v>
      </c>
      <c r="E22" s="148">
        <v>44651</v>
      </c>
      <c r="F22" s="149" t="s">
        <v>50</v>
      </c>
      <c r="G22" s="150" t="s">
        <v>44</v>
      </c>
      <c r="H22" s="149" t="s">
        <v>92</v>
      </c>
      <c r="I22" s="149" t="s">
        <v>41</v>
      </c>
      <c r="J22" s="151">
        <v>1531</v>
      </c>
      <c r="K22" s="152">
        <v>49</v>
      </c>
      <c r="L22" s="152"/>
      <c r="M22" s="152"/>
      <c r="N22" s="152"/>
      <c r="O22" s="152"/>
      <c r="P22" s="152"/>
      <c r="Q22" s="152"/>
      <c r="R22" s="152"/>
      <c r="S22" s="152"/>
      <c r="T22" s="153"/>
      <c r="U22" s="152"/>
      <c r="V22" s="152"/>
      <c r="W22" s="152">
        <v>41</v>
      </c>
      <c r="X22" s="152">
        <v>4.5</v>
      </c>
      <c r="Y22" s="152">
        <v>4.5</v>
      </c>
      <c r="Z22" s="152"/>
      <c r="AA22" s="152">
        <v>1</v>
      </c>
      <c r="AB22" s="152">
        <v>0</v>
      </c>
      <c r="AC22" s="154">
        <v>1</v>
      </c>
      <c r="AD22" s="102">
        <v>100</v>
      </c>
      <c r="AE22" s="152"/>
      <c r="AF22" s="152"/>
      <c r="AG22" s="152"/>
      <c r="AH22" s="149" t="s">
        <v>101</v>
      </c>
      <c r="AI22" s="155" t="s">
        <v>102</v>
      </c>
      <c r="AJ22" s="149" t="s">
        <v>103</v>
      </c>
      <c r="AK22" s="156" t="s">
        <v>104</v>
      </c>
      <c r="AL22" s="149"/>
      <c r="AM22" s="155">
        <v>1648598400</v>
      </c>
      <c r="AN22" s="155">
        <v>1648684800</v>
      </c>
      <c r="AO22" s="155">
        <v>1648641600</v>
      </c>
    </row>
    <row r="23" spans="1:42" x14ac:dyDescent="0.45">
      <c r="A23" s="142">
        <v>2022</v>
      </c>
      <c r="B23" t="s">
        <v>70</v>
      </c>
      <c r="C23" s="20" t="s">
        <v>39</v>
      </c>
      <c r="D23" s="81">
        <v>44641</v>
      </c>
      <c r="E23" s="21">
        <v>44646</v>
      </c>
      <c r="F23" s="22" t="s">
        <v>54</v>
      </c>
      <c r="G23" s="23" t="s">
        <v>44</v>
      </c>
      <c r="H23" s="22" t="s">
        <v>92</v>
      </c>
      <c r="I23" s="22" t="s">
        <v>45</v>
      </c>
      <c r="J23" s="23">
        <v>1000</v>
      </c>
      <c r="K23" s="26">
        <v>50</v>
      </c>
      <c r="L23" s="26"/>
      <c r="M23" s="26"/>
      <c r="N23" s="26"/>
      <c r="O23" s="26"/>
      <c r="P23" s="26"/>
      <c r="Q23" s="26"/>
      <c r="R23" s="26"/>
      <c r="S23" s="26"/>
      <c r="T23" s="27"/>
      <c r="U23" s="26"/>
      <c r="V23" s="26"/>
      <c r="W23" s="26">
        <v>46</v>
      </c>
      <c r="X23" s="26">
        <v>1</v>
      </c>
      <c r="Y23" s="26">
        <v>3</v>
      </c>
      <c r="Z23" s="26"/>
      <c r="AA23" s="26">
        <v>0</v>
      </c>
      <c r="AB23" s="26">
        <v>0</v>
      </c>
      <c r="AC23" s="28">
        <v>1</v>
      </c>
      <c r="AD23" s="102">
        <v>100</v>
      </c>
      <c r="AE23" s="26"/>
      <c r="AF23" s="27"/>
      <c r="AG23" s="27"/>
      <c r="AH23" s="29" t="s">
        <v>94</v>
      </c>
      <c r="AI23" s="26"/>
      <c r="AJ23" s="157" t="s">
        <v>105</v>
      </c>
      <c r="AK23" s="157" t="s">
        <v>106</v>
      </c>
      <c r="AL23" s="22" t="s">
        <v>107</v>
      </c>
      <c r="AM23" s="29">
        <v>1647820800</v>
      </c>
      <c r="AN23" s="29">
        <v>1648252800</v>
      </c>
      <c r="AO23" s="29">
        <v>1648036800</v>
      </c>
    </row>
    <row r="24" spans="1:42" x14ac:dyDescent="0.45">
      <c r="A24" s="142">
        <v>2022</v>
      </c>
      <c r="B24" t="s">
        <v>70</v>
      </c>
      <c r="C24" s="2" t="s">
        <v>39</v>
      </c>
      <c r="D24" s="3">
        <v>44643</v>
      </c>
      <c r="E24" s="3">
        <v>44645</v>
      </c>
      <c r="F24" s="4" t="s">
        <v>40</v>
      </c>
      <c r="G24" s="5" t="s">
        <v>44</v>
      </c>
      <c r="H24" s="4" t="s">
        <v>92</v>
      </c>
      <c r="I24" s="4" t="s">
        <v>41</v>
      </c>
      <c r="J24" s="158">
        <v>1000</v>
      </c>
      <c r="K24" s="6">
        <v>49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44</v>
      </c>
      <c r="X24" s="6">
        <v>3</v>
      </c>
      <c r="Y24" s="6">
        <v>3</v>
      </c>
      <c r="Z24" s="6"/>
      <c r="AA24" s="6">
        <v>1</v>
      </c>
      <c r="AB24" s="6">
        <v>0</v>
      </c>
      <c r="AC24" s="7">
        <v>1</v>
      </c>
      <c r="AD24" s="102">
        <v>100</v>
      </c>
      <c r="AE24" s="6"/>
      <c r="AF24" s="6"/>
      <c r="AG24" s="6"/>
      <c r="AH24" s="8" t="s">
        <v>94</v>
      </c>
      <c r="AI24" s="159" t="s">
        <v>108</v>
      </c>
      <c r="AJ24" s="9" t="s">
        <v>98</v>
      </c>
      <c r="AK24" s="9" t="s">
        <v>109</v>
      </c>
      <c r="AL24" s="4" t="s">
        <v>110</v>
      </c>
      <c r="AM24" s="8">
        <v>1647993600</v>
      </c>
      <c r="AN24" s="8">
        <v>1648166400</v>
      </c>
      <c r="AO24" s="8">
        <v>1648080000</v>
      </c>
    </row>
    <row r="25" spans="1:42" x14ac:dyDescent="0.45">
      <c r="A25" s="142">
        <v>2022</v>
      </c>
      <c r="B25" s="103" t="s">
        <v>70</v>
      </c>
      <c r="C25" s="189" t="s">
        <v>39</v>
      </c>
      <c r="D25" s="190">
        <v>44648</v>
      </c>
      <c r="E25" s="190">
        <v>44650</v>
      </c>
      <c r="F25" s="191" t="s">
        <v>133</v>
      </c>
      <c r="G25" s="192">
        <v>1</v>
      </c>
      <c r="H25" s="191"/>
      <c r="I25" s="191"/>
      <c r="J25" s="193"/>
      <c r="K25" s="194">
        <v>50</v>
      </c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>
        <v>40</v>
      </c>
      <c r="X25" s="194">
        <v>4</v>
      </c>
      <c r="Y25" s="194">
        <v>6</v>
      </c>
      <c r="Z25" s="194"/>
      <c r="AA25" s="194"/>
      <c r="AB25" s="194"/>
      <c r="AC25" s="195"/>
      <c r="AD25" s="102"/>
      <c r="AE25" s="194"/>
      <c r="AF25" s="194"/>
      <c r="AG25" s="194"/>
      <c r="AH25" s="196"/>
      <c r="AI25" s="197"/>
      <c r="AJ25" s="198"/>
      <c r="AK25" s="198"/>
      <c r="AL25" s="191"/>
      <c r="AM25" s="196"/>
      <c r="AN25" s="196"/>
      <c r="AO25" s="196"/>
      <c r="AP25" t="s">
        <v>129</v>
      </c>
    </row>
    <row r="26" spans="1:42" x14ac:dyDescent="0.45">
      <c r="A26" s="142">
        <v>2022</v>
      </c>
      <c r="B26" s="103" t="s">
        <v>70</v>
      </c>
      <c r="C26" s="170" t="s">
        <v>39</v>
      </c>
      <c r="D26" s="171">
        <v>44642</v>
      </c>
      <c r="E26" s="171">
        <v>44644</v>
      </c>
      <c r="F26" s="172" t="s">
        <v>124</v>
      </c>
      <c r="G26" s="173">
        <v>1</v>
      </c>
      <c r="H26" s="172"/>
      <c r="I26" s="172"/>
      <c r="J26" s="174"/>
      <c r="K26" s="175">
        <v>49</v>
      </c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>
        <v>41</v>
      </c>
      <c r="X26" s="175">
        <v>3</v>
      </c>
      <c r="Y26" s="175">
        <v>5</v>
      </c>
      <c r="Z26" s="175"/>
      <c r="AA26" s="175">
        <v>2</v>
      </c>
      <c r="AB26" s="175"/>
      <c r="AC26" s="176"/>
      <c r="AD26" s="102"/>
      <c r="AE26" s="175"/>
      <c r="AF26" s="175"/>
      <c r="AG26" s="175"/>
      <c r="AH26" s="177"/>
      <c r="AI26" s="178"/>
      <c r="AJ26" s="179"/>
      <c r="AK26" s="179"/>
      <c r="AL26" s="172"/>
      <c r="AM26" s="177"/>
      <c r="AN26" s="177"/>
      <c r="AO26" s="177"/>
      <c r="AP26" t="s">
        <v>129</v>
      </c>
    </row>
    <row r="27" spans="1:42" x14ac:dyDescent="0.45">
      <c r="A27" s="142">
        <v>2024</v>
      </c>
      <c r="B27" t="s">
        <v>111</v>
      </c>
      <c r="C27" s="70" t="s">
        <v>39</v>
      </c>
      <c r="D27" s="71">
        <v>45446</v>
      </c>
      <c r="E27" s="71">
        <v>45448</v>
      </c>
      <c r="F27" s="72" t="s">
        <v>74</v>
      </c>
      <c r="G27" s="73" t="s">
        <v>44</v>
      </c>
      <c r="H27" s="72" t="s">
        <v>71</v>
      </c>
      <c r="I27" s="72" t="s">
        <v>41</v>
      </c>
      <c r="J27" s="143">
        <v>1001</v>
      </c>
      <c r="K27" s="74">
        <v>43</v>
      </c>
      <c r="L27" s="74"/>
      <c r="M27" s="74">
        <v>2</v>
      </c>
      <c r="N27" s="74">
        <v>1</v>
      </c>
      <c r="O27" s="74"/>
      <c r="P27" s="74"/>
      <c r="Q27" s="74"/>
      <c r="R27" s="74">
        <v>4</v>
      </c>
      <c r="S27" s="74">
        <v>15</v>
      </c>
      <c r="T27" s="75"/>
      <c r="U27" s="74"/>
      <c r="V27" s="74">
        <v>0</v>
      </c>
      <c r="W27" s="74"/>
      <c r="X27" s="74">
        <v>4</v>
      </c>
      <c r="Y27" s="74">
        <v>5</v>
      </c>
      <c r="Z27" s="74">
        <v>25</v>
      </c>
      <c r="AA27" s="74">
        <v>1</v>
      </c>
      <c r="AB27" s="74">
        <v>0</v>
      </c>
      <c r="AC27" s="76">
        <v>1</v>
      </c>
      <c r="AD27" s="102">
        <v>100</v>
      </c>
      <c r="AE27" s="74"/>
      <c r="AF27" s="74"/>
      <c r="AG27" s="74"/>
      <c r="AH27" s="77" t="s">
        <v>112</v>
      </c>
      <c r="AI27" s="78" t="s">
        <v>113</v>
      </c>
      <c r="AJ27" s="78" t="s">
        <v>114</v>
      </c>
      <c r="AK27" s="78"/>
      <c r="AL27" s="72" t="s">
        <v>115</v>
      </c>
      <c r="AM27" s="77">
        <v>1717372800</v>
      </c>
      <c r="AN27" s="77">
        <v>1717545600</v>
      </c>
      <c r="AO27" s="77">
        <v>1717459200</v>
      </c>
    </row>
    <row r="28" spans="1:42" x14ac:dyDescent="0.45">
      <c r="A28" s="142">
        <v>2024</v>
      </c>
      <c r="B28" t="s">
        <v>111</v>
      </c>
      <c r="C28" s="160" t="s">
        <v>39</v>
      </c>
      <c r="D28" s="148">
        <v>45443</v>
      </c>
      <c r="E28" s="148">
        <v>45448</v>
      </c>
      <c r="F28" s="149" t="s">
        <v>50</v>
      </c>
      <c r="G28" s="150" t="s">
        <v>44</v>
      </c>
      <c r="H28" s="149" t="s">
        <v>71</v>
      </c>
      <c r="I28" s="149" t="s">
        <v>41</v>
      </c>
      <c r="J28" s="151">
        <v>1000</v>
      </c>
      <c r="K28" s="152">
        <v>50</v>
      </c>
      <c r="L28" s="152"/>
      <c r="M28" s="152">
        <v>1</v>
      </c>
      <c r="N28" s="152">
        <v>0</v>
      </c>
      <c r="O28" s="152"/>
      <c r="P28" s="152"/>
      <c r="Q28" s="152"/>
      <c r="R28" s="152">
        <v>3</v>
      </c>
      <c r="S28" s="152">
        <v>9</v>
      </c>
      <c r="T28" s="153"/>
      <c r="U28" s="152">
        <v>0</v>
      </c>
      <c r="V28" s="152">
        <v>0</v>
      </c>
      <c r="W28" s="152"/>
      <c r="X28" s="152">
        <v>4</v>
      </c>
      <c r="Y28" s="152">
        <v>5</v>
      </c>
      <c r="Z28" s="152">
        <v>27</v>
      </c>
      <c r="AA28" s="152">
        <v>0</v>
      </c>
      <c r="AB28" s="152">
        <v>0</v>
      </c>
      <c r="AC28" s="154">
        <v>1</v>
      </c>
      <c r="AD28" s="102">
        <v>100</v>
      </c>
      <c r="AE28" s="152"/>
      <c r="AF28" s="152"/>
      <c r="AG28" s="152"/>
      <c r="AH28" s="149" t="s">
        <v>116</v>
      </c>
      <c r="AI28" s="156" t="s">
        <v>117</v>
      </c>
      <c r="AJ28" s="156" t="s">
        <v>118</v>
      </c>
      <c r="AK28" s="149" t="s">
        <v>119</v>
      </c>
      <c r="AL28" s="149" t="s">
        <v>120</v>
      </c>
      <c r="AM28" s="155">
        <v>1717113600</v>
      </c>
      <c r="AN28" s="155">
        <v>1717545600</v>
      </c>
      <c r="AO28" s="155">
        <v>1717329600</v>
      </c>
    </row>
    <row r="29" spans="1:42" x14ac:dyDescent="0.45">
      <c r="A29" s="142">
        <v>2024</v>
      </c>
      <c r="B29" t="s">
        <v>111</v>
      </c>
      <c r="C29" s="20" t="s">
        <v>39</v>
      </c>
      <c r="D29" s="81">
        <v>45436</v>
      </c>
      <c r="E29" s="81">
        <v>45445</v>
      </c>
      <c r="F29" s="22" t="s">
        <v>54</v>
      </c>
      <c r="G29" s="23" t="s">
        <v>44</v>
      </c>
      <c r="H29" s="22" t="s">
        <v>71</v>
      </c>
      <c r="I29" s="22" t="s">
        <v>45</v>
      </c>
      <c r="J29" s="23">
        <v>1000</v>
      </c>
      <c r="K29" s="26">
        <v>45</v>
      </c>
      <c r="L29" s="26"/>
      <c r="M29" s="26">
        <v>1</v>
      </c>
      <c r="N29" s="26">
        <v>2</v>
      </c>
      <c r="O29" s="26"/>
      <c r="P29" s="26"/>
      <c r="Q29" s="26"/>
      <c r="R29" s="26">
        <v>4</v>
      </c>
      <c r="S29" s="26">
        <v>11</v>
      </c>
      <c r="T29" s="27"/>
      <c r="U29" s="26">
        <v>1</v>
      </c>
      <c r="V29" s="26"/>
      <c r="W29" s="26"/>
      <c r="X29" s="26">
        <v>3</v>
      </c>
      <c r="Y29" s="26">
        <v>5</v>
      </c>
      <c r="Z29" s="26">
        <v>27</v>
      </c>
      <c r="AA29" s="26">
        <v>0</v>
      </c>
      <c r="AB29" s="26">
        <v>0</v>
      </c>
      <c r="AC29" s="28">
        <v>1</v>
      </c>
      <c r="AD29" s="102">
        <v>100</v>
      </c>
      <c r="AE29" s="26"/>
      <c r="AF29" s="27"/>
      <c r="AG29" s="27"/>
      <c r="AH29" s="29"/>
      <c r="AI29" s="157" t="s">
        <v>121</v>
      </c>
      <c r="AJ29" s="157" t="s">
        <v>122</v>
      </c>
      <c r="AK29" s="157"/>
      <c r="AL29" s="22" t="s">
        <v>123</v>
      </c>
      <c r="AM29" s="29">
        <v>1716508800</v>
      </c>
      <c r="AN29" s="29">
        <v>1717286400</v>
      </c>
      <c r="AO29" s="29">
        <v>1716897600</v>
      </c>
    </row>
    <row r="30" spans="1:42" x14ac:dyDescent="0.45">
      <c r="A30" s="142">
        <v>2024</v>
      </c>
      <c r="B30" t="s">
        <v>111</v>
      </c>
      <c r="C30" s="161" t="s">
        <v>39</v>
      </c>
      <c r="D30" s="162">
        <v>45439</v>
      </c>
      <c r="E30" s="162">
        <v>45441</v>
      </c>
      <c r="F30" s="163" t="s">
        <v>124</v>
      </c>
      <c r="G30" s="164" t="s">
        <v>44</v>
      </c>
      <c r="H30" s="163" t="s">
        <v>71</v>
      </c>
      <c r="I30" s="163" t="s">
        <v>41</v>
      </c>
      <c r="J30" s="165">
        <v>1000</v>
      </c>
      <c r="K30" s="166">
        <v>45</v>
      </c>
      <c r="L30" s="166"/>
      <c r="M30" s="166">
        <v>1</v>
      </c>
      <c r="N30" s="166">
        <v>0</v>
      </c>
      <c r="O30" s="166"/>
      <c r="P30" s="166"/>
      <c r="Q30" s="166"/>
      <c r="R30" s="166">
        <v>1</v>
      </c>
      <c r="S30" s="166">
        <v>10</v>
      </c>
      <c r="T30" s="166"/>
      <c r="U30" s="166">
        <v>1</v>
      </c>
      <c r="V30" s="166"/>
      <c r="W30" s="166"/>
      <c r="X30" s="166">
        <v>7</v>
      </c>
      <c r="Y30" s="166">
        <v>5</v>
      </c>
      <c r="Z30" s="166">
        <v>28</v>
      </c>
      <c r="AA30" s="166">
        <v>1</v>
      </c>
      <c r="AB30" s="166">
        <v>0</v>
      </c>
      <c r="AC30" s="167">
        <v>0.99009900990099009</v>
      </c>
      <c r="AD30" s="102">
        <v>101</v>
      </c>
      <c r="AE30" s="166"/>
      <c r="AF30" s="166"/>
      <c r="AG30" s="166"/>
      <c r="AH30" s="168" t="s">
        <v>94</v>
      </c>
      <c r="AI30" s="169" t="s">
        <v>125</v>
      </c>
      <c r="AJ30" s="169" t="s">
        <v>126</v>
      </c>
      <c r="AK30" s="169" t="s">
        <v>127</v>
      </c>
      <c r="AL30" s="163" t="s">
        <v>128</v>
      </c>
      <c r="AM30" s="168">
        <v>1716768000</v>
      </c>
      <c r="AN30" s="168">
        <v>1716940800</v>
      </c>
      <c r="AO30" s="168">
        <v>1716854400</v>
      </c>
    </row>
    <row r="31" spans="1:42" x14ac:dyDescent="0.45">
      <c r="A31" s="142">
        <v>2024</v>
      </c>
      <c r="B31" t="s">
        <v>111</v>
      </c>
      <c r="C31" s="92" t="s">
        <v>39</v>
      </c>
      <c r="D31" s="93">
        <v>45432</v>
      </c>
      <c r="E31" s="93">
        <v>45441</v>
      </c>
      <c r="F31" s="94" t="s">
        <v>88</v>
      </c>
      <c r="G31" s="95" t="s">
        <v>44</v>
      </c>
      <c r="H31" s="94" t="s">
        <v>71</v>
      </c>
      <c r="I31" s="94" t="s">
        <v>89</v>
      </c>
      <c r="J31" s="95">
        <v>1500</v>
      </c>
      <c r="K31" s="96">
        <v>44</v>
      </c>
      <c r="L31" s="96"/>
      <c r="M31" s="96">
        <v>0</v>
      </c>
      <c r="N31" s="96">
        <v>0</v>
      </c>
      <c r="O31" s="96"/>
      <c r="P31" s="96"/>
      <c r="Q31" s="96"/>
      <c r="R31" s="96">
        <v>4</v>
      </c>
      <c r="S31" s="96">
        <v>12</v>
      </c>
      <c r="T31" s="97"/>
      <c r="U31" s="96">
        <v>1</v>
      </c>
      <c r="V31" s="96"/>
      <c r="W31" s="96"/>
      <c r="X31" s="96">
        <v>4</v>
      </c>
      <c r="Y31" s="96">
        <v>5</v>
      </c>
      <c r="Z31" s="96">
        <v>26</v>
      </c>
      <c r="AA31" s="96">
        <v>2</v>
      </c>
      <c r="AB31" s="96">
        <v>0</v>
      </c>
      <c r="AC31" s="98">
        <v>1</v>
      </c>
      <c r="AD31" s="102">
        <v>100</v>
      </c>
      <c r="AE31" s="144"/>
      <c r="AF31" s="144"/>
      <c r="AG31" s="144"/>
      <c r="AH31" s="99" t="s">
        <v>42</v>
      </c>
      <c r="AI31" s="145" t="s">
        <v>130</v>
      </c>
      <c r="AJ31" s="145" t="s">
        <v>131</v>
      </c>
      <c r="AK31" s="101" t="s">
        <v>132</v>
      </c>
      <c r="AL31" s="94"/>
      <c r="AM31" s="99">
        <v>1716163200</v>
      </c>
      <c r="AN31" s="99">
        <v>1716940800</v>
      </c>
      <c r="AO31" s="99">
        <v>1716552000</v>
      </c>
    </row>
    <row r="32" spans="1:42" x14ac:dyDescent="0.45">
      <c r="A32" s="142">
        <v>2024</v>
      </c>
      <c r="B32" t="s">
        <v>111</v>
      </c>
      <c r="C32" s="180" t="s">
        <v>39</v>
      </c>
      <c r="D32" s="181">
        <v>45413</v>
      </c>
      <c r="E32" s="181">
        <v>45441</v>
      </c>
      <c r="F32" s="182" t="s">
        <v>133</v>
      </c>
      <c r="G32" s="183" t="s">
        <v>44</v>
      </c>
      <c r="H32" s="182" t="s">
        <v>71</v>
      </c>
      <c r="I32" s="182" t="s">
        <v>41</v>
      </c>
      <c r="J32" s="184">
        <v>4000</v>
      </c>
      <c r="K32" s="185">
        <v>51</v>
      </c>
      <c r="L32" s="185"/>
      <c r="M32" s="185">
        <v>1</v>
      </c>
      <c r="N32" s="185">
        <v>1</v>
      </c>
      <c r="O32" s="185"/>
      <c r="P32" s="185"/>
      <c r="Q32" s="185"/>
      <c r="R32" s="185">
        <v>1</v>
      </c>
      <c r="S32" s="185">
        <v>8</v>
      </c>
      <c r="T32" s="185"/>
      <c r="U32" s="185">
        <v>1</v>
      </c>
      <c r="V32" s="185">
        <v>0</v>
      </c>
      <c r="W32" s="185"/>
      <c r="X32" s="185">
        <v>5</v>
      </c>
      <c r="Y32" s="185">
        <v>4</v>
      </c>
      <c r="Z32" s="185">
        <v>25</v>
      </c>
      <c r="AA32" s="185">
        <v>0</v>
      </c>
      <c r="AB32" s="185">
        <v>0</v>
      </c>
      <c r="AC32" s="186">
        <v>1.0101010101010102</v>
      </c>
      <c r="AD32" s="102">
        <v>99</v>
      </c>
      <c r="AE32" s="185"/>
      <c r="AF32" s="185"/>
      <c r="AG32" s="185"/>
      <c r="AH32" s="187" t="s">
        <v>94</v>
      </c>
      <c r="AI32" s="188" t="s">
        <v>125</v>
      </c>
      <c r="AJ32" s="188" t="s">
        <v>126</v>
      </c>
      <c r="AK32" s="188" t="s">
        <v>134</v>
      </c>
      <c r="AL32" s="182" t="s">
        <v>135</v>
      </c>
      <c r="AM32" s="187">
        <v>1714521600</v>
      </c>
      <c r="AN32" s="187">
        <v>1716940800</v>
      </c>
      <c r="AO32" s="187">
        <v>1715731200</v>
      </c>
    </row>
    <row r="33" spans="1:41" x14ac:dyDescent="0.45">
      <c r="A33" s="142">
        <v>2024</v>
      </c>
      <c r="B33" t="s">
        <v>111</v>
      </c>
      <c r="C33" s="32" t="s">
        <v>39</v>
      </c>
      <c r="D33" s="79">
        <v>45432</v>
      </c>
      <c r="E33" s="79">
        <v>45440</v>
      </c>
      <c r="F33" s="34" t="s">
        <v>59</v>
      </c>
      <c r="G33" s="35" t="s">
        <v>44</v>
      </c>
      <c r="H33" s="34" t="s">
        <v>71</v>
      </c>
      <c r="I33" s="34" t="s">
        <v>41</v>
      </c>
      <c r="J33" s="199">
        <v>1000</v>
      </c>
      <c r="K33" s="37">
        <v>45</v>
      </c>
      <c r="L33" s="37"/>
      <c r="M33" s="37">
        <v>1</v>
      </c>
      <c r="N33" s="37">
        <v>1</v>
      </c>
      <c r="O33" s="37"/>
      <c r="P33" s="37"/>
      <c r="Q33" s="37"/>
      <c r="R33" s="37">
        <v>3</v>
      </c>
      <c r="S33" s="37">
        <v>10</v>
      </c>
      <c r="T33" s="37"/>
      <c r="U33" s="37">
        <v>1</v>
      </c>
      <c r="V33" s="37">
        <v>0</v>
      </c>
      <c r="W33" s="37"/>
      <c r="X33" s="37">
        <v>9</v>
      </c>
      <c r="Y33" s="37">
        <v>6</v>
      </c>
      <c r="Z33" s="37">
        <v>23</v>
      </c>
      <c r="AA33" s="37">
        <v>0</v>
      </c>
      <c r="AB33" s="37">
        <v>0</v>
      </c>
      <c r="AC33" s="38">
        <v>1</v>
      </c>
      <c r="AD33" s="102">
        <v>100</v>
      </c>
      <c r="AE33" s="37"/>
      <c r="AF33" s="37"/>
      <c r="AG33" s="37"/>
      <c r="AH33" s="39" t="s">
        <v>94</v>
      </c>
      <c r="AI33" s="40" t="s">
        <v>125</v>
      </c>
      <c r="AJ33" s="40" t="s">
        <v>126</v>
      </c>
      <c r="AK33" s="40" t="s">
        <v>136</v>
      </c>
      <c r="AL33" s="34" t="s">
        <v>137</v>
      </c>
      <c r="AM33" s="39">
        <v>1716163200</v>
      </c>
      <c r="AN33" s="39">
        <v>1716854400</v>
      </c>
      <c r="AO33" s="39">
        <v>1716508800</v>
      </c>
    </row>
    <row r="34" spans="1:41" x14ac:dyDescent="0.45">
      <c r="A34" s="142">
        <v>2024</v>
      </c>
      <c r="B34" t="s">
        <v>111</v>
      </c>
      <c r="C34" s="200" t="s">
        <v>39</v>
      </c>
      <c r="D34" s="201">
        <v>45434</v>
      </c>
      <c r="E34" s="201">
        <v>45436</v>
      </c>
      <c r="F34" s="202" t="s">
        <v>138</v>
      </c>
      <c r="G34" s="203" t="s">
        <v>44</v>
      </c>
      <c r="H34" s="202" t="s">
        <v>71</v>
      </c>
      <c r="I34" s="202" t="s">
        <v>41</v>
      </c>
      <c r="J34" s="204">
        <v>1000</v>
      </c>
      <c r="K34" s="205">
        <v>47</v>
      </c>
      <c r="L34" s="205"/>
      <c r="M34" s="205">
        <v>1</v>
      </c>
      <c r="N34" s="205">
        <v>1</v>
      </c>
      <c r="O34" s="205"/>
      <c r="P34" s="205"/>
      <c r="Q34" s="205"/>
      <c r="R34" s="205">
        <v>2</v>
      </c>
      <c r="S34" s="205">
        <v>8</v>
      </c>
      <c r="T34" s="205"/>
      <c r="U34" s="205">
        <v>1</v>
      </c>
      <c r="V34" s="205">
        <v>0</v>
      </c>
      <c r="W34" s="205"/>
      <c r="X34" s="205">
        <v>6</v>
      </c>
      <c r="Y34" s="205">
        <v>6</v>
      </c>
      <c r="Z34" s="205">
        <v>26</v>
      </c>
      <c r="AA34" s="205">
        <v>1</v>
      </c>
      <c r="AB34" s="205">
        <v>0</v>
      </c>
      <c r="AC34" s="206">
        <v>1</v>
      </c>
      <c r="AD34" s="102">
        <v>100</v>
      </c>
      <c r="AE34" s="205"/>
      <c r="AF34" s="205"/>
      <c r="AG34" s="205"/>
      <c r="AH34" s="207" t="s">
        <v>94</v>
      </c>
      <c r="AI34" s="208" t="s">
        <v>125</v>
      </c>
      <c r="AJ34" s="208" t="s">
        <v>126</v>
      </c>
      <c r="AK34" s="208" t="s">
        <v>139</v>
      </c>
      <c r="AL34" s="202" t="s">
        <v>137</v>
      </c>
      <c r="AM34" s="207">
        <v>1716336000</v>
      </c>
      <c r="AN34" s="207">
        <v>1716508800</v>
      </c>
      <c r="AO34" s="207">
        <v>1716422400</v>
      </c>
    </row>
    <row r="35" spans="1:41" x14ac:dyDescent="0.45">
      <c r="A35" s="142">
        <v>2024</v>
      </c>
      <c r="B35" t="s">
        <v>111</v>
      </c>
      <c r="C35" s="2" t="s">
        <v>39</v>
      </c>
      <c r="D35" s="3">
        <v>45432</v>
      </c>
      <c r="E35" s="3">
        <v>45434</v>
      </c>
      <c r="F35" s="4" t="s">
        <v>40</v>
      </c>
      <c r="G35" s="5" t="s">
        <v>44</v>
      </c>
      <c r="H35" s="4" t="s">
        <v>71</v>
      </c>
      <c r="I35" s="4" t="s">
        <v>41</v>
      </c>
      <c r="J35" s="158">
        <v>1000</v>
      </c>
      <c r="K35" s="6">
        <v>47</v>
      </c>
      <c r="L35" s="6"/>
      <c r="M35" s="6">
        <v>1</v>
      </c>
      <c r="N35" s="6">
        <v>1</v>
      </c>
      <c r="O35" s="6"/>
      <c r="P35" s="6"/>
      <c r="Q35" s="6"/>
      <c r="R35" s="6">
        <v>1</v>
      </c>
      <c r="S35" s="6">
        <v>9</v>
      </c>
      <c r="T35" s="6"/>
      <c r="U35" s="6">
        <v>1</v>
      </c>
      <c r="V35" s="6">
        <v>0</v>
      </c>
      <c r="W35" s="6"/>
      <c r="X35" s="6">
        <v>7</v>
      </c>
      <c r="Y35" s="6">
        <v>7</v>
      </c>
      <c r="Z35" s="6">
        <v>24</v>
      </c>
      <c r="AA35" s="6">
        <v>1</v>
      </c>
      <c r="AB35" s="6">
        <v>0</v>
      </c>
      <c r="AC35" s="7">
        <v>1</v>
      </c>
      <c r="AD35" s="102">
        <v>100</v>
      </c>
      <c r="AE35" s="6"/>
      <c r="AF35" s="6"/>
      <c r="AG35" s="6"/>
      <c r="AH35" s="8" t="s">
        <v>94</v>
      </c>
      <c r="AI35" s="9" t="s">
        <v>125</v>
      </c>
      <c r="AJ35" s="9" t="s">
        <v>126</v>
      </c>
      <c r="AK35" s="9" t="s">
        <v>136</v>
      </c>
      <c r="AL35" s="4" t="s">
        <v>140</v>
      </c>
      <c r="AM35" s="8">
        <v>1716163200</v>
      </c>
      <c r="AN35" s="8">
        <v>1716336000</v>
      </c>
      <c r="AO35" s="8">
        <v>1716249600</v>
      </c>
    </row>
    <row r="36" spans="1:41" x14ac:dyDescent="0.45">
      <c r="A36" s="142">
        <v>2024</v>
      </c>
      <c r="B36" t="s">
        <v>111</v>
      </c>
      <c r="C36" s="209" t="s">
        <v>39</v>
      </c>
      <c r="D36" s="210">
        <v>45404</v>
      </c>
      <c r="E36" s="210">
        <v>45408</v>
      </c>
      <c r="F36" s="211" t="s">
        <v>141</v>
      </c>
      <c r="G36" s="212" t="s">
        <v>44</v>
      </c>
      <c r="H36" s="213" t="s">
        <v>71</v>
      </c>
      <c r="I36" s="211" t="s">
        <v>41</v>
      </c>
      <c r="J36" s="212">
        <v>1000</v>
      </c>
      <c r="K36" s="214">
        <v>37</v>
      </c>
      <c r="L36" s="214"/>
      <c r="M36" s="214">
        <v>2</v>
      </c>
      <c r="N36" s="214">
        <v>1</v>
      </c>
      <c r="O36" s="214"/>
      <c r="P36" s="214"/>
      <c r="Q36" s="214"/>
      <c r="R36" s="214">
        <v>5</v>
      </c>
      <c r="S36" s="214">
        <v>24</v>
      </c>
      <c r="T36" s="215"/>
      <c r="U36" s="214">
        <v>0</v>
      </c>
      <c r="V36" s="214">
        <v>1</v>
      </c>
      <c r="W36" s="214"/>
      <c r="X36" s="214">
        <v>5</v>
      </c>
      <c r="Y36" s="214">
        <v>5</v>
      </c>
      <c r="Z36" s="214">
        <v>17</v>
      </c>
      <c r="AA36" s="214">
        <v>2</v>
      </c>
      <c r="AB36" s="214">
        <v>0</v>
      </c>
      <c r="AC36" s="216">
        <v>1</v>
      </c>
      <c r="AD36" s="102">
        <v>100</v>
      </c>
      <c r="AE36" s="214"/>
      <c r="AF36" s="215"/>
      <c r="AG36" s="215"/>
      <c r="AH36" s="217" t="s">
        <v>142</v>
      </c>
      <c r="AI36" s="218" t="s">
        <v>143</v>
      </c>
      <c r="AJ36" s="218" t="s">
        <v>144</v>
      </c>
      <c r="AK36" s="218"/>
      <c r="AL36" s="211" t="s">
        <v>145</v>
      </c>
      <c r="AM36" s="217">
        <v>1713744000</v>
      </c>
      <c r="AN36" s="217">
        <v>1714089600</v>
      </c>
      <c r="AO36" s="217">
        <v>1713916800</v>
      </c>
    </row>
    <row r="37" spans="1:41" x14ac:dyDescent="0.45">
      <c r="A37" s="142">
        <v>2024</v>
      </c>
      <c r="B37" t="s">
        <v>111</v>
      </c>
      <c r="C37" s="83" t="s">
        <v>39</v>
      </c>
      <c r="D37" s="84">
        <v>45399</v>
      </c>
      <c r="E37" s="84">
        <v>45401</v>
      </c>
      <c r="F37" s="85" t="s">
        <v>84</v>
      </c>
      <c r="G37" s="86" t="s">
        <v>44</v>
      </c>
      <c r="H37" s="85" t="s">
        <v>71</v>
      </c>
      <c r="I37" s="85" t="s">
        <v>41</v>
      </c>
      <c r="J37" s="86">
        <v>1073</v>
      </c>
      <c r="K37" s="87">
        <v>50</v>
      </c>
      <c r="L37" s="87"/>
      <c r="M37" s="87">
        <v>1</v>
      </c>
      <c r="N37" s="87"/>
      <c r="O37" s="87"/>
      <c r="P37" s="87"/>
      <c r="Q37" s="87"/>
      <c r="R37" s="87">
        <v>3</v>
      </c>
      <c r="S37" s="87">
        <v>10</v>
      </c>
      <c r="T37" s="87"/>
      <c r="U37" s="87"/>
      <c r="V37" s="87"/>
      <c r="W37" s="87"/>
      <c r="X37" s="87">
        <v>4</v>
      </c>
      <c r="Y37" s="87">
        <v>3</v>
      </c>
      <c r="Z37" s="87">
        <v>26</v>
      </c>
      <c r="AA37" s="87">
        <v>1</v>
      </c>
      <c r="AB37" s="87">
        <v>0</v>
      </c>
      <c r="AC37" s="89">
        <v>1</v>
      </c>
      <c r="AD37" s="102">
        <v>100</v>
      </c>
      <c r="AE37" s="87"/>
      <c r="AF37" s="87"/>
      <c r="AG37" s="87"/>
      <c r="AH37" s="90" t="s">
        <v>94</v>
      </c>
      <c r="AI37" s="91" t="s">
        <v>146</v>
      </c>
      <c r="AJ37" s="91" t="s">
        <v>147</v>
      </c>
      <c r="AK37" s="91" t="s">
        <v>148</v>
      </c>
      <c r="AL37" s="85" t="s">
        <v>120</v>
      </c>
      <c r="AM37" s="90">
        <v>1713312000</v>
      </c>
      <c r="AN37" s="90">
        <v>1713484800</v>
      </c>
      <c r="AO37" s="90">
        <v>1713398400</v>
      </c>
    </row>
    <row r="38" spans="1:41" x14ac:dyDescent="0.45">
      <c r="A38" s="142">
        <v>2026</v>
      </c>
      <c r="B38" t="s">
        <v>70</v>
      </c>
      <c r="C38" s="32" t="s">
        <v>39</v>
      </c>
      <c r="D38" s="237">
        <v>46078</v>
      </c>
      <c r="E38" s="237">
        <v>46083</v>
      </c>
      <c r="F38" s="34" t="s">
        <v>155</v>
      </c>
      <c r="G38" s="35">
        <v>1</v>
      </c>
      <c r="H38" s="34"/>
      <c r="I38" s="34" t="s">
        <v>41</v>
      </c>
      <c r="J38" s="199">
        <v>1000</v>
      </c>
      <c r="K38" s="37">
        <v>43</v>
      </c>
      <c r="L38" s="37" t="s">
        <v>156</v>
      </c>
      <c r="M38" s="37"/>
      <c r="N38" s="37"/>
      <c r="O38" s="37">
        <v>5</v>
      </c>
      <c r="P38" s="37"/>
      <c r="Q38" s="37"/>
      <c r="R38" s="37"/>
      <c r="S38" s="37"/>
      <c r="T38" s="37"/>
      <c r="U38" s="37"/>
      <c r="V38" s="37"/>
      <c r="W38" s="37"/>
      <c r="X38" s="37">
        <v>3</v>
      </c>
      <c r="Y38" s="37">
        <v>5</v>
      </c>
      <c r="Z38" s="37">
        <v>37</v>
      </c>
      <c r="AA38" s="80">
        <v>1</v>
      </c>
      <c r="AB38" s="80">
        <v>6</v>
      </c>
      <c r="AC38" s="38">
        <v>1.0638297872340425</v>
      </c>
      <c r="AD38" s="102">
        <v>100</v>
      </c>
      <c r="AE38" s="37"/>
      <c r="AF38" s="37"/>
      <c r="AG38" s="37"/>
      <c r="AH38" s="39" t="s">
        <v>94</v>
      </c>
      <c r="AI38" s="146" t="s">
        <v>157</v>
      </c>
      <c r="AJ38" s="146"/>
      <c r="AK38" s="146"/>
      <c r="AL38" s="34" t="s">
        <v>158</v>
      </c>
      <c r="AM38" s="39">
        <v>1771977600</v>
      </c>
      <c r="AN38" s="39">
        <v>1772409600</v>
      </c>
      <c r="AO38" s="39">
        <v>1772193600</v>
      </c>
    </row>
    <row r="39" spans="1:41" x14ac:dyDescent="0.45">
      <c r="A39" s="142">
        <v>2026</v>
      </c>
      <c r="B39" t="s">
        <v>70</v>
      </c>
      <c r="C39" s="20" t="s">
        <v>39</v>
      </c>
      <c r="D39" s="81">
        <v>46075</v>
      </c>
      <c r="E39" s="81">
        <v>46081</v>
      </c>
      <c r="F39" s="22" t="s">
        <v>54</v>
      </c>
      <c r="G39" s="23" t="s">
        <v>44</v>
      </c>
      <c r="H39" s="22"/>
      <c r="I39" s="22" t="s">
        <v>159</v>
      </c>
      <c r="J39" s="23">
        <v>1000</v>
      </c>
      <c r="K39" s="26">
        <v>38</v>
      </c>
      <c r="L39" s="26"/>
      <c r="M39" s="26"/>
      <c r="N39" s="26"/>
      <c r="O39" s="26">
        <v>3</v>
      </c>
      <c r="P39" s="26"/>
      <c r="Q39" s="26"/>
      <c r="R39" s="26" t="s">
        <v>156</v>
      </c>
      <c r="S39" s="26"/>
      <c r="T39" s="27"/>
      <c r="U39" s="26"/>
      <c r="V39" s="26"/>
      <c r="W39" s="26"/>
      <c r="X39" s="26">
        <v>2</v>
      </c>
      <c r="Y39" s="26">
        <v>7</v>
      </c>
      <c r="Z39" s="26">
        <v>50</v>
      </c>
      <c r="AA39" s="26">
        <v>0</v>
      </c>
      <c r="AB39" s="26">
        <v>0</v>
      </c>
      <c r="AC39" s="28">
        <v>1</v>
      </c>
      <c r="AD39" s="102">
        <v>100</v>
      </c>
      <c r="AE39" s="26"/>
      <c r="AF39" s="27"/>
      <c r="AG39" s="27"/>
      <c r="AH39" s="29" t="s">
        <v>42</v>
      </c>
      <c r="AI39" s="238" t="s">
        <v>160</v>
      </c>
      <c r="AJ39" s="157" t="s">
        <v>161</v>
      </c>
      <c r="AK39" s="157" t="s">
        <v>162</v>
      </c>
      <c r="AL39" s="22"/>
      <c r="AM39" s="29">
        <v>1771718400</v>
      </c>
      <c r="AN39" s="29">
        <v>1772236800</v>
      </c>
      <c r="AO39" s="29">
        <v>1771977600</v>
      </c>
    </row>
    <row r="40" spans="1:41" x14ac:dyDescent="0.45">
      <c r="A40" s="142">
        <v>2026</v>
      </c>
      <c r="B40" t="s">
        <v>70</v>
      </c>
      <c r="C40" s="70" t="s">
        <v>39</v>
      </c>
      <c r="D40" s="239">
        <v>46077</v>
      </c>
      <c r="E40" s="239">
        <v>46080</v>
      </c>
      <c r="F40" s="72" t="s">
        <v>74</v>
      </c>
      <c r="G40" s="73" t="s">
        <v>44</v>
      </c>
      <c r="H40" s="72"/>
      <c r="I40" s="72" t="s">
        <v>41</v>
      </c>
      <c r="J40" s="240">
        <v>1001</v>
      </c>
      <c r="K40" s="74">
        <v>35</v>
      </c>
      <c r="L40" s="74"/>
      <c r="M40" s="74"/>
      <c r="N40" s="74"/>
      <c r="O40" s="74">
        <v>4</v>
      </c>
      <c r="P40" s="74"/>
      <c r="Q40" s="74"/>
      <c r="R40" s="241"/>
      <c r="S40" s="74"/>
      <c r="T40" s="75"/>
      <c r="U40" s="241"/>
      <c r="V40" s="74"/>
      <c r="W40" s="241"/>
      <c r="X40" s="74">
        <v>3</v>
      </c>
      <c r="Y40" s="74">
        <v>5</v>
      </c>
      <c r="Z40" s="74">
        <v>40</v>
      </c>
      <c r="AA40" s="241"/>
      <c r="AB40" s="241">
        <v>14</v>
      </c>
      <c r="AC40" s="76">
        <v>1.1494252873563218</v>
      </c>
      <c r="AD40" s="102">
        <v>101</v>
      </c>
      <c r="AE40" s="74"/>
      <c r="AF40" s="74"/>
      <c r="AG40" s="74"/>
      <c r="AH40" s="77" t="s">
        <v>112</v>
      </c>
      <c r="AI40" s="242"/>
      <c r="AJ40" s="242"/>
      <c r="AK40" s="242"/>
      <c r="AL40" s="72"/>
      <c r="AM40" s="77">
        <v>1771891200</v>
      </c>
      <c r="AN40" s="77">
        <v>1772150400</v>
      </c>
      <c r="AO40" s="77">
        <v>1772020800</v>
      </c>
    </row>
    <row r="41" spans="1:41" x14ac:dyDescent="0.45">
      <c r="A41" s="142">
        <v>2026</v>
      </c>
      <c r="B41" t="s">
        <v>70</v>
      </c>
      <c r="C41" s="70" t="s">
        <v>39</v>
      </c>
      <c r="D41" s="239">
        <v>46077</v>
      </c>
      <c r="E41" s="239">
        <v>46080</v>
      </c>
      <c r="F41" s="72" t="s">
        <v>74</v>
      </c>
      <c r="G41" s="73" t="s">
        <v>44</v>
      </c>
      <c r="H41" s="72"/>
      <c r="I41" s="72" t="s">
        <v>41</v>
      </c>
      <c r="J41" s="240">
        <v>1001</v>
      </c>
      <c r="K41" s="74">
        <v>39</v>
      </c>
      <c r="L41" s="74"/>
      <c r="M41" s="74"/>
      <c r="N41" s="74"/>
      <c r="O41" s="74">
        <v>4</v>
      </c>
      <c r="P41" s="74"/>
      <c r="Q41" s="74"/>
      <c r="R41" s="241"/>
      <c r="S41" s="74"/>
      <c r="T41" s="75"/>
      <c r="U41" s="241"/>
      <c r="V41" s="74"/>
      <c r="W41" s="241"/>
      <c r="X41" s="74">
        <v>4</v>
      </c>
      <c r="Y41" s="74">
        <v>6</v>
      </c>
      <c r="Z41" s="74">
        <v>47</v>
      </c>
      <c r="AA41" s="241"/>
      <c r="AB41" s="241">
        <v>0</v>
      </c>
      <c r="AC41" s="76">
        <v>1</v>
      </c>
      <c r="AD41" s="102">
        <v>100</v>
      </c>
      <c r="AE41" s="74"/>
      <c r="AF41" s="74"/>
      <c r="AG41" s="74"/>
      <c r="AH41" s="77" t="s">
        <v>112</v>
      </c>
      <c r="AI41" s="242"/>
      <c r="AJ41" s="242"/>
      <c r="AK41" s="242"/>
      <c r="AL41" s="72"/>
      <c r="AM41" s="77">
        <v>1771891200</v>
      </c>
      <c r="AN41" s="77">
        <v>1772150400</v>
      </c>
      <c r="AO41" s="77">
        <v>1772020800</v>
      </c>
    </row>
    <row r="42" spans="1:41" x14ac:dyDescent="0.45">
      <c r="A42" s="142">
        <v>2026</v>
      </c>
      <c r="B42" t="s">
        <v>70</v>
      </c>
      <c r="C42" s="2" t="s">
        <v>39</v>
      </c>
      <c r="D42" s="3">
        <v>46076</v>
      </c>
      <c r="E42" s="3">
        <v>46079</v>
      </c>
      <c r="F42" s="4" t="s">
        <v>40</v>
      </c>
      <c r="G42" s="243">
        <v>1</v>
      </c>
      <c r="H42" s="4"/>
      <c r="I42" s="4" t="s">
        <v>41</v>
      </c>
      <c r="J42" s="158">
        <v>1000</v>
      </c>
      <c r="K42" s="6">
        <v>45</v>
      </c>
      <c r="L42" s="6"/>
      <c r="M42" s="6"/>
      <c r="N42" s="6"/>
      <c r="O42" s="6">
        <v>3</v>
      </c>
      <c r="P42" s="6"/>
      <c r="Q42" s="6"/>
      <c r="R42" s="6"/>
      <c r="S42" s="6"/>
      <c r="T42" s="6"/>
      <c r="U42" s="6"/>
      <c r="V42" s="6"/>
      <c r="W42" s="6"/>
      <c r="X42" s="6">
        <v>4</v>
      </c>
      <c r="Y42" s="6">
        <v>8</v>
      </c>
      <c r="Z42" s="6">
        <v>40</v>
      </c>
      <c r="AA42" s="6">
        <v>0</v>
      </c>
      <c r="AB42" s="6">
        <v>0</v>
      </c>
      <c r="AC42" s="7">
        <v>1</v>
      </c>
      <c r="AD42" s="102">
        <v>100</v>
      </c>
      <c r="AE42" s="6"/>
      <c r="AF42" s="6"/>
      <c r="AG42" s="6"/>
      <c r="AH42" s="8" t="s">
        <v>94</v>
      </c>
      <c r="AI42" s="159" t="s">
        <v>163</v>
      </c>
      <c r="AJ42" s="159" t="s">
        <v>164</v>
      </c>
      <c r="AK42" s="9"/>
      <c r="AL42" s="4"/>
      <c r="AM42" s="8">
        <v>1771804800</v>
      </c>
      <c r="AN42" s="8">
        <v>1772064000</v>
      </c>
      <c r="AO42" s="8">
        <v>1771934400</v>
      </c>
    </row>
    <row r="43" spans="1:41" x14ac:dyDescent="0.45">
      <c r="A43" s="142">
        <v>2026</v>
      </c>
      <c r="B43" t="s">
        <v>70</v>
      </c>
      <c r="C43" s="160" t="s">
        <v>39</v>
      </c>
      <c r="D43" s="244">
        <v>46071</v>
      </c>
      <c r="E43" s="244">
        <v>46076</v>
      </c>
      <c r="F43" s="149" t="s">
        <v>50</v>
      </c>
      <c r="G43" s="150" t="s">
        <v>44</v>
      </c>
      <c r="H43" s="149"/>
      <c r="I43" s="149" t="s">
        <v>41</v>
      </c>
      <c r="J43" s="151">
        <v>1000</v>
      </c>
      <c r="K43" s="152">
        <v>35</v>
      </c>
      <c r="L43" s="152"/>
      <c r="M43" s="152" t="s">
        <v>156</v>
      </c>
      <c r="N43" s="152"/>
      <c r="O43" s="152">
        <v>2</v>
      </c>
      <c r="P43" s="152"/>
      <c r="Q43" s="152"/>
      <c r="R43" s="152"/>
      <c r="S43" s="152"/>
      <c r="T43" s="153"/>
      <c r="U43" s="152"/>
      <c r="V43" s="152"/>
      <c r="W43" s="152"/>
      <c r="X43" s="152">
        <v>2</v>
      </c>
      <c r="Y43" s="152">
        <v>6</v>
      </c>
      <c r="Z43" s="152">
        <v>55</v>
      </c>
      <c r="AA43" s="152">
        <v>1</v>
      </c>
      <c r="AB43" s="152">
        <v>0</v>
      </c>
      <c r="AC43" s="154">
        <v>0.99009900990099009</v>
      </c>
      <c r="AD43" s="102">
        <v>101</v>
      </c>
      <c r="AE43" s="152"/>
      <c r="AF43" s="152"/>
      <c r="AG43" s="152"/>
      <c r="AH43" s="149" t="s">
        <v>116</v>
      </c>
      <c r="AI43" s="149" t="s">
        <v>165</v>
      </c>
      <c r="AJ43" s="245" t="s">
        <v>166</v>
      </c>
      <c r="AK43" s="149" t="s">
        <v>167</v>
      </c>
      <c r="AL43" s="149"/>
      <c r="AM43" s="155">
        <v>1771372800</v>
      </c>
      <c r="AN43" s="155">
        <v>1771804800</v>
      </c>
      <c r="AO43" s="155">
        <v>1771588800</v>
      </c>
    </row>
    <row r="44" spans="1:41" x14ac:dyDescent="0.45">
      <c r="A44" s="142">
        <v>2026</v>
      </c>
      <c r="B44" t="s">
        <v>70</v>
      </c>
      <c r="C44" s="209" t="s">
        <v>39</v>
      </c>
      <c r="D44" s="210">
        <v>46065</v>
      </c>
      <c r="E44" s="210">
        <v>46070</v>
      </c>
      <c r="F44" s="211" t="s">
        <v>141</v>
      </c>
      <c r="G44" s="212" t="s">
        <v>44</v>
      </c>
      <c r="H44" s="246"/>
      <c r="I44" s="211" t="s">
        <v>41</v>
      </c>
      <c r="J44" s="212">
        <v>1000</v>
      </c>
      <c r="K44" s="214">
        <v>39</v>
      </c>
      <c r="L44" s="214"/>
      <c r="M44" s="214"/>
      <c r="N44" s="214"/>
      <c r="O44" s="214">
        <v>3</v>
      </c>
      <c r="P44" s="214"/>
      <c r="Q44" s="214"/>
      <c r="R44" s="214"/>
      <c r="S44" s="214"/>
      <c r="T44" s="215"/>
      <c r="U44" s="214"/>
      <c r="V44" s="214"/>
      <c r="W44" s="214"/>
      <c r="X44" s="214">
        <v>5</v>
      </c>
      <c r="Y44" s="214">
        <v>6</v>
      </c>
      <c r="Z44" s="214">
        <v>47</v>
      </c>
      <c r="AA44" s="214">
        <v>0</v>
      </c>
      <c r="AB44" s="214">
        <v>0</v>
      </c>
      <c r="AC44" s="216">
        <v>1</v>
      </c>
      <c r="AD44" s="102">
        <v>100</v>
      </c>
      <c r="AE44" s="214"/>
      <c r="AF44" s="215"/>
      <c r="AG44" s="215"/>
      <c r="AH44" s="217" t="s">
        <v>94</v>
      </c>
      <c r="AI44" s="247" t="s">
        <v>168</v>
      </c>
      <c r="AJ44" s="247" t="s">
        <v>169</v>
      </c>
      <c r="AK44" s="247"/>
      <c r="AL44" s="211"/>
      <c r="AM44" s="217">
        <v>1770854400</v>
      </c>
      <c r="AN44" s="217">
        <v>1771286400</v>
      </c>
      <c r="AO44" s="217">
        <v>1771070400</v>
      </c>
    </row>
    <row r="45" spans="1:41" x14ac:dyDescent="0.45">
      <c r="A45" s="142">
        <v>2026</v>
      </c>
      <c r="B45" t="s">
        <v>70</v>
      </c>
      <c r="C45" s="70" t="s">
        <v>39</v>
      </c>
      <c r="D45" s="239">
        <v>46062</v>
      </c>
      <c r="E45" s="239">
        <v>46065</v>
      </c>
      <c r="F45" s="72" t="s">
        <v>74</v>
      </c>
      <c r="G45" s="73" t="s">
        <v>44</v>
      </c>
      <c r="H45" s="72"/>
      <c r="I45" s="72" t="s">
        <v>41</v>
      </c>
      <c r="J45" s="240">
        <v>1000</v>
      </c>
      <c r="K45" s="74">
        <v>34</v>
      </c>
      <c r="L45" s="74"/>
      <c r="M45" s="74"/>
      <c r="N45" s="74"/>
      <c r="O45" s="74">
        <v>4</v>
      </c>
      <c r="P45" s="74"/>
      <c r="Q45" s="74"/>
      <c r="R45" s="241"/>
      <c r="S45" s="74"/>
      <c r="T45" s="75"/>
      <c r="U45" s="241"/>
      <c r="V45" s="74"/>
      <c r="W45" s="241"/>
      <c r="X45" s="74">
        <v>3</v>
      </c>
      <c r="Y45" s="74">
        <v>4</v>
      </c>
      <c r="Z45" s="74">
        <v>41</v>
      </c>
      <c r="AA45" s="241"/>
      <c r="AB45" s="241">
        <v>14</v>
      </c>
      <c r="AC45" s="76">
        <v>1.1627906976744187</v>
      </c>
      <c r="AD45" s="102">
        <v>100</v>
      </c>
      <c r="AE45" s="74"/>
      <c r="AF45" s="74"/>
      <c r="AG45" s="74"/>
      <c r="AH45" s="77" t="s">
        <v>112</v>
      </c>
      <c r="AI45" s="242" t="s">
        <v>170</v>
      </c>
      <c r="AJ45" s="242"/>
      <c r="AK45" s="242"/>
      <c r="AL45" s="72"/>
      <c r="AM45" s="77">
        <v>1770595200</v>
      </c>
      <c r="AN45" s="77">
        <v>1770854400</v>
      </c>
      <c r="AO45" s="77">
        <v>1770724800</v>
      </c>
    </row>
    <row r="46" spans="1:41" x14ac:dyDescent="0.45">
      <c r="A46" s="142">
        <v>2026</v>
      </c>
      <c r="B46" t="s">
        <v>70</v>
      </c>
      <c r="C46" s="70" t="s">
        <v>39</v>
      </c>
      <c r="D46" s="239">
        <v>46062</v>
      </c>
      <c r="E46" s="239">
        <v>46065</v>
      </c>
      <c r="F46" s="72" t="s">
        <v>74</v>
      </c>
      <c r="G46" s="73" t="s">
        <v>44</v>
      </c>
      <c r="H46" s="72"/>
      <c r="I46" s="72" t="s">
        <v>41</v>
      </c>
      <c r="J46" s="240">
        <v>1000</v>
      </c>
      <c r="K46" s="74">
        <v>39</v>
      </c>
      <c r="L46" s="74"/>
      <c r="M46" s="74"/>
      <c r="N46" s="74"/>
      <c r="O46" s="74">
        <v>5</v>
      </c>
      <c r="P46" s="74"/>
      <c r="Q46" s="74"/>
      <c r="R46" s="241"/>
      <c r="S46" s="74"/>
      <c r="T46" s="75"/>
      <c r="U46" s="241"/>
      <c r="V46" s="74"/>
      <c r="W46" s="241"/>
      <c r="X46" s="74">
        <v>4</v>
      </c>
      <c r="Y46" s="74">
        <v>5</v>
      </c>
      <c r="Z46" s="74">
        <v>48</v>
      </c>
      <c r="AA46" s="241"/>
      <c r="AB46" s="241">
        <v>0</v>
      </c>
      <c r="AC46" s="76">
        <v>0.99009900990099009</v>
      </c>
      <c r="AD46" s="102">
        <v>101</v>
      </c>
      <c r="AE46" s="74"/>
      <c r="AF46" s="74"/>
      <c r="AG46" s="74"/>
      <c r="AH46" s="77" t="s">
        <v>112</v>
      </c>
      <c r="AI46" s="242" t="s">
        <v>170</v>
      </c>
      <c r="AJ46" s="242"/>
      <c r="AK46" s="242"/>
      <c r="AL46" s="72"/>
      <c r="AM46" s="77">
        <v>1770595200</v>
      </c>
      <c r="AN46" s="77">
        <v>1770854400</v>
      </c>
      <c r="AO46" s="77">
        <v>1770724800</v>
      </c>
    </row>
    <row r="47" spans="1:41" x14ac:dyDescent="0.45">
      <c r="A47" s="142">
        <v>2026</v>
      </c>
      <c r="B47" t="s">
        <v>70</v>
      </c>
      <c r="C47" s="248" t="s">
        <v>39</v>
      </c>
      <c r="D47" s="3">
        <v>46062</v>
      </c>
      <c r="E47" s="3">
        <v>46064</v>
      </c>
      <c r="F47" s="4" t="s">
        <v>40</v>
      </c>
      <c r="G47" s="5" t="s">
        <v>44</v>
      </c>
      <c r="H47" s="4"/>
      <c r="I47" s="4" t="s">
        <v>41</v>
      </c>
      <c r="J47" s="158">
        <v>1000</v>
      </c>
      <c r="K47" s="6">
        <v>46</v>
      </c>
      <c r="L47" s="6"/>
      <c r="M47" s="6"/>
      <c r="N47" s="6"/>
      <c r="O47" s="6">
        <v>4</v>
      </c>
      <c r="P47" s="6"/>
      <c r="Q47" s="6"/>
      <c r="R47" s="6"/>
      <c r="S47" s="6"/>
      <c r="T47" s="6"/>
      <c r="U47" s="6"/>
      <c r="V47" s="6"/>
      <c r="W47" s="6"/>
      <c r="X47" s="6">
        <v>3</v>
      </c>
      <c r="Y47" s="6">
        <v>7</v>
      </c>
      <c r="Z47" s="6">
        <v>40</v>
      </c>
      <c r="AA47" s="6">
        <v>0</v>
      </c>
      <c r="AB47" s="6">
        <v>0</v>
      </c>
      <c r="AC47" s="7">
        <v>1</v>
      </c>
      <c r="AD47" s="102">
        <v>100</v>
      </c>
      <c r="AE47" s="6"/>
      <c r="AF47" s="6"/>
      <c r="AG47" s="6"/>
      <c r="AH47" s="8" t="s">
        <v>94</v>
      </c>
      <c r="AI47" s="159" t="s">
        <v>171</v>
      </c>
      <c r="AJ47" s="159" t="s">
        <v>172</v>
      </c>
      <c r="AK47" s="159"/>
      <c r="AL47" s="4" t="s">
        <v>173</v>
      </c>
      <c r="AM47" s="8">
        <v>1770595200</v>
      </c>
      <c r="AN47" s="8">
        <v>1770768000</v>
      </c>
      <c r="AO47" s="8">
        <v>1770681600</v>
      </c>
    </row>
    <row r="48" spans="1:41" x14ac:dyDescent="0.45">
      <c r="A48" s="142">
        <v>2026</v>
      </c>
      <c r="B48" t="s">
        <v>70</v>
      </c>
      <c r="C48" s="83" t="s">
        <v>39</v>
      </c>
      <c r="D48" s="249">
        <v>46055</v>
      </c>
      <c r="E48" s="249">
        <v>46063</v>
      </c>
      <c r="F48" s="85" t="s">
        <v>84</v>
      </c>
      <c r="G48" s="86" t="s">
        <v>44</v>
      </c>
      <c r="H48" s="85"/>
      <c r="I48" s="85" t="s">
        <v>41</v>
      </c>
      <c r="J48" s="86">
        <v>1000</v>
      </c>
      <c r="K48" s="87">
        <v>37</v>
      </c>
      <c r="L48" s="87"/>
      <c r="M48" s="87"/>
      <c r="N48" s="87"/>
      <c r="O48" s="87">
        <v>2</v>
      </c>
      <c r="P48" s="87"/>
      <c r="Q48" s="87"/>
      <c r="R48" s="87"/>
      <c r="S48" s="87"/>
      <c r="T48" s="87"/>
      <c r="U48" s="87"/>
      <c r="V48" s="87"/>
      <c r="W48" s="87"/>
      <c r="X48" s="87">
        <v>5</v>
      </c>
      <c r="Y48" s="87">
        <v>6</v>
      </c>
      <c r="Z48" s="87">
        <v>50</v>
      </c>
      <c r="AA48" s="87">
        <v>0</v>
      </c>
      <c r="AB48" s="90">
        <v>0</v>
      </c>
      <c r="AC48" s="89">
        <v>1</v>
      </c>
      <c r="AD48" s="102">
        <v>100</v>
      </c>
      <c r="AE48" s="87"/>
      <c r="AF48" s="87"/>
      <c r="AG48" s="87"/>
      <c r="AH48" s="90" t="s">
        <v>94</v>
      </c>
      <c r="AI48" s="250" t="s">
        <v>174</v>
      </c>
      <c r="AJ48" s="250" t="s">
        <v>175</v>
      </c>
      <c r="AK48" s="250" t="s">
        <v>176</v>
      </c>
      <c r="AL48" s="85"/>
      <c r="AM48" s="90">
        <v>1769990400</v>
      </c>
      <c r="AN48" s="90">
        <v>1770681600</v>
      </c>
      <c r="AO48" s="90">
        <v>1770336000</v>
      </c>
    </row>
    <row r="49" spans="1:42" x14ac:dyDescent="0.45">
      <c r="A49" s="142">
        <v>2026</v>
      </c>
      <c r="B49" t="s">
        <v>70</v>
      </c>
      <c r="C49" s="92" t="s">
        <v>39</v>
      </c>
      <c r="D49" s="93">
        <v>46053</v>
      </c>
      <c r="E49" s="93">
        <v>46059</v>
      </c>
      <c r="F49" s="94" t="s">
        <v>88</v>
      </c>
      <c r="G49" s="95" t="s">
        <v>44</v>
      </c>
      <c r="H49" s="94"/>
      <c r="I49" s="94" t="s">
        <v>89</v>
      </c>
      <c r="J49" s="95">
        <v>1500</v>
      </c>
      <c r="K49" s="96">
        <v>38</v>
      </c>
      <c r="L49" s="96">
        <v>0</v>
      </c>
      <c r="M49" s="96">
        <v>0</v>
      </c>
      <c r="N49" s="96">
        <v>0</v>
      </c>
      <c r="O49" s="96">
        <v>5</v>
      </c>
      <c r="P49" s="96"/>
      <c r="Q49" s="96">
        <v>0</v>
      </c>
      <c r="R49" s="96">
        <v>0</v>
      </c>
      <c r="S49" s="96"/>
      <c r="T49" s="97"/>
      <c r="U49" s="96">
        <v>0</v>
      </c>
      <c r="V49" s="96">
        <v>0</v>
      </c>
      <c r="W49" s="96"/>
      <c r="X49" s="96">
        <v>3</v>
      </c>
      <c r="Y49" s="96">
        <v>5</v>
      </c>
      <c r="Z49" s="96">
        <v>48</v>
      </c>
      <c r="AA49" s="96">
        <v>1</v>
      </c>
      <c r="AB49" s="96">
        <v>0</v>
      </c>
      <c r="AC49" s="98">
        <v>1</v>
      </c>
      <c r="AD49" s="102">
        <v>100</v>
      </c>
      <c r="AE49" s="144"/>
      <c r="AF49" s="144"/>
      <c r="AG49" s="144"/>
      <c r="AH49" s="99" t="s">
        <v>42</v>
      </c>
      <c r="AI49" s="251" t="s">
        <v>177</v>
      </c>
      <c r="AJ49" s="145" t="s">
        <v>178</v>
      </c>
      <c r="AK49" s="251" t="s">
        <v>179</v>
      </c>
      <c r="AL49" s="94" t="s">
        <v>180</v>
      </c>
      <c r="AM49" s="99">
        <v>1769817600</v>
      </c>
      <c r="AN49" s="99">
        <v>1770336000</v>
      </c>
      <c r="AO49" s="99">
        <v>1770076800</v>
      </c>
    </row>
    <row r="50" spans="1:42" x14ac:dyDescent="0.45">
      <c r="A50" s="142">
        <v>2026</v>
      </c>
      <c r="B50" t="s">
        <v>70</v>
      </c>
      <c r="C50" s="200" t="s">
        <v>39</v>
      </c>
      <c r="D50" s="201">
        <v>46055</v>
      </c>
      <c r="E50" s="201">
        <v>46058</v>
      </c>
      <c r="F50" s="202" t="s">
        <v>138</v>
      </c>
      <c r="G50" s="203" t="s">
        <v>44</v>
      </c>
      <c r="H50" s="202"/>
      <c r="I50" s="202" t="s">
        <v>41</v>
      </c>
      <c r="J50" s="204">
        <v>1000</v>
      </c>
      <c r="K50" s="205">
        <v>49</v>
      </c>
      <c r="L50" s="205"/>
      <c r="M50" s="205"/>
      <c r="N50" s="205"/>
      <c r="O50" s="205">
        <v>2</v>
      </c>
      <c r="P50" s="205"/>
      <c r="Q50" s="205"/>
      <c r="R50" s="205"/>
      <c r="S50" s="205"/>
      <c r="T50" s="205"/>
      <c r="U50" s="205"/>
      <c r="V50" s="205"/>
      <c r="W50" s="205"/>
      <c r="X50" s="205">
        <v>2</v>
      </c>
      <c r="Y50" s="205">
        <v>5</v>
      </c>
      <c r="Z50" s="205">
        <v>42</v>
      </c>
      <c r="AA50" s="205"/>
      <c r="AB50" s="205">
        <v>0</v>
      </c>
      <c r="AC50" s="206">
        <v>1</v>
      </c>
      <c r="AD50" s="252">
        <v>100</v>
      </c>
      <c r="AE50" s="205"/>
      <c r="AF50" s="205"/>
      <c r="AG50" s="205"/>
      <c r="AH50" s="207" t="s">
        <v>94</v>
      </c>
      <c r="AI50" s="253" t="s">
        <v>181</v>
      </c>
      <c r="AJ50" s="254"/>
      <c r="AK50" s="254"/>
      <c r="AL50" s="202"/>
      <c r="AM50" s="207">
        <v>1769990400</v>
      </c>
      <c r="AN50" s="207">
        <v>1770249600</v>
      </c>
      <c r="AO50" s="207">
        <v>1770120000</v>
      </c>
    </row>
    <row r="51" spans="1:42" x14ac:dyDescent="0.45">
      <c r="A51" s="142">
        <v>2026</v>
      </c>
      <c r="B51" t="s">
        <v>70</v>
      </c>
      <c r="C51" s="92" t="s">
        <v>39</v>
      </c>
      <c r="D51" s="93">
        <v>46081</v>
      </c>
      <c r="E51" s="93">
        <v>46087</v>
      </c>
      <c r="F51" s="94" t="s">
        <v>88</v>
      </c>
      <c r="G51" s="95" t="s">
        <v>44</v>
      </c>
      <c r="H51" s="94"/>
      <c r="I51" s="94" t="s">
        <v>89</v>
      </c>
      <c r="J51" s="95">
        <v>1500</v>
      </c>
      <c r="K51" s="96">
        <v>37</v>
      </c>
      <c r="L51" s="96">
        <v>0</v>
      </c>
      <c r="M51" s="96">
        <v>0</v>
      </c>
      <c r="N51" s="96">
        <v>0</v>
      </c>
      <c r="O51" s="96">
        <v>5</v>
      </c>
      <c r="P51" s="96"/>
      <c r="Q51" s="96">
        <v>0</v>
      </c>
      <c r="R51" s="96">
        <v>0</v>
      </c>
      <c r="S51" s="96"/>
      <c r="T51" s="97"/>
      <c r="U51" s="96">
        <v>0</v>
      </c>
      <c r="V51" s="96">
        <v>0</v>
      </c>
      <c r="W51" s="96"/>
      <c r="X51" s="96">
        <v>2</v>
      </c>
      <c r="Y51" s="96">
        <v>6</v>
      </c>
      <c r="Z51" s="96">
        <v>49</v>
      </c>
      <c r="AA51" s="96">
        <v>1</v>
      </c>
      <c r="AB51" s="96"/>
      <c r="AC51" s="96">
        <v>0</v>
      </c>
      <c r="AD51" s="98">
        <f t="shared" ref="AD51:AD62" si="0">100/(SUM(K51:AA51))</f>
        <v>1</v>
      </c>
      <c r="AE51" s="102">
        <f t="shared" ref="AE51:AE62" si="1">SUM(K51:AC51)</f>
        <v>100</v>
      </c>
      <c r="AF51" s="144"/>
      <c r="AG51" s="144"/>
      <c r="AH51" s="144"/>
      <c r="AI51" s="99" t="s">
        <v>42</v>
      </c>
      <c r="AJ51" s="251" t="s">
        <v>183</v>
      </c>
      <c r="AK51" s="145" t="s">
        <v>184</v>
      </c>
      <c r="AL51" s="251"/>
      <c r="AM51" s="94"/>
      <c r="AN51" s="99">
        <f t="shared" ref="AN51:AO62" si="2">(D51-DATE(1970,1,1))*86400</f>
        <v>1772236800</v>
      </c>
      <c r="AO51" s="99">
        <f t="shared" si="2"/>
        <v>1772755200</v>
      </c>
    </row>
    <row r="52" spans="1:42" x14ac:dyDescent="0.45">
      <c r="A52" s="142">
        <v>2026</v>
      </c>
      <c r="B52" t="s">
        <v>70</v>
      </c>
      <c r="C52" s="2" t="s">
        <v>39</v>
      </c>
      <c r="D52" s="3">
        <v>46088</v>
      </c>
      <c r="E52" s="3">
        <v>46090</v>
      </c>
      <c r="F52" s="4" t="s">
        <v>40</v>
      </c>
      <c r="G52" s="243">
        <v>1</v>
      </c>
      <c r="H52" s="4"/>
      <c r="I52" s="4" t="s">
        <v>41</v>
      </c>
      <c r="J52" s="158">
        <v>1000</v>
      </c>
      <c r="K52" s="6">
        <v>46</v>
      </c>
      <c r="L52" s="6"/>
      <c r="M52" s="6"/>
      <c r="N52" s="6"/>
      <c r="O52" s="6">
        <v>4</v>
      </c>
      <c r="P52" s="6"/>
      <c r="Q52" s="6"/>
      <c r="R52" s="6"/>
      <c r="S52" s="6"/>
      <c r="T52" s="6"/>
      <c r="U52" s="6"/>
      <c r="V52" s="6"/>
      <c r="W52" s="6"/>
      <c r="X52" s="6">
        <v>3</v>
      </c>
      <c r="Y52" s="6">
        <v>6</v>
      </c>
      <c r="Z52" s="6">
        <v>41</v>
      </c>
      <c r="AA52" s="255">
        <v>0</v>
      </c>
      <c r="AC52" s="255">
        <v>0</v>
      </c>
      <c r="AD52" s="7">
        <f t="shared" si="0"/>
        <v>1</v>
      </c>
      <c r="AE52" s="102">
        <f t="shared" si="1"/>
        <v>100</v>
      </c>
      <c r="AF52" s="6"/>
      <c r="AG52" s="6"/>
      <c r="AH52" s="6"/>
      <c r="AI52" s="8" t="s">
        <v>182</v>
      </c>
      <c r="AJ52" s="159" t="s">
        <v>185</v>
      </c>
      <c r="AK52" s="159"/>
      <c r="AL52" s="159"/>
      <c r="AM52" s="4"/>
      <c r="AN52" s="8">
        <f t="shared" si="2"/>
        <v>1772841600</v>
      </c>
      <c r="AO52" s="8">
        <f t="shared" si="2"/>
        <v>1773014400</v>
      </c>
    </row>
    <row r="53" spans="1:42" x14ac:dyDescent="0.45">
      <c r="A53" s="142">
        <v>2026</v>
      </c>
      <c r="B53" t="s">
        <v>70</v>
      </c>
      <c r="C53" s="2" t="s">
        <v>39</v>
      </c>
      <c r="D53" s="3">
        <v>46097</v>
      </c>
      <c r="E53" s="3">
        <v>46098</v>
      </c>
      <c r="F53" s="4" t="s">
        <v>40</v>
      </c>
      <c r="G53" s="243">
        <v>1</v>
      </c>
      <c r="H53" s="4"/>
      <c r="I53" s="4" t="s">
        <v>41</v>
      </c>
      <c r="J53" s="158">
        <v>1000</v>
      </c>
      <c r="K53" s="6">
        <v>46</v>
      </c>
      <c r="L53" s="6"/>
      <c r="M53" s="6"/>
      <c r="N53" s="6"/>
      <c r="O53" s="6">
        <v>3</v>
      </c>
      <c r="P53" s="6"/>
      <c r="Q53" s="6"/>
      <c r="R53" s="6"/>
      <c r="S53" s="6"/>
      <c r="T53" s="6"/>
      <c r="U53" s="6"/>
      <c r="V53" s="6"/>
      <c r="W53" s="6"/>
      <c r="X53" s="6">
        <v>3</v>
      </c>
      <c r="Y53" s="6">
        <v>8</v>
      </c>
      <c r="Z53" s="6">
        <v>40</v>
      </c>
      <c r="AA53" s="6">
        <v>0</v>
      </c>
      <c r="AC53" s="6">
        <v>0</v>
      </c>
      <c r="AD53" s="7">
        <f t="shared" si="0"/>
        <v>1</v>
      </c>
      <c r="AE53" s="102">
        <f t="shared" si="1"/>
        <v>100</v>
      </c>
      <c r="AF53" s="6"/>
      <c r="AG53" s="6"/>
      <c r="AH53" s="6"/>
      <c r="AI53" s="8" t="s">
        <v>94</v>
      </c>
      <c r="AJ53" s="159" t="s">
        <v>163</v>
      </c>
      <c r="AK53" s="159" t="s">
        <v>164</v>
      </c>
      <c r="AL53" s="9"/>
      <c r="AM53" s="4"/>
      <c r="AN53" s="8">
        <f t="shared" si="2"/>
        <v>1773619200</v>
      </c>
      <c r="AO53" s="8">
        <f t="shared" si="2"/>
        <v>1773705600</v>
      </c>
    </row>
    <row r="54" spans="1:42" x14ac:dyDescent="0.45">
      <c r="A54" s="142">
        <v>2026</v>
      </c>
      <c r="B54" t="s">
        <v>70</v>
      </c>
      <c r="C54" s="160" t="s">
        <v>39</v>
      </c>
      <c r="D54" s="244">
        <v>46098</v>
      </c>
      <c r="E54" s="244">
        <v>46101</v>
      </c>
      <c r="F54" s="149" t="s">
        <v>50</v>
      </c>
      <c r="G54" s="150" t="s">
        <v>44</v>
      </c>
      <c r="H54" s="149"/>
      <c r="I54" s="149" t="s">
        <v>41</v>
      </c>
      <c r="J54" s="151">
        <v>1000</v>
      </c>
      <c r="K54" s="152">
        <v>35</v>
      </c>
      <c r="L54" s="152"/>
      <c r="M54" s="152" t="s">
        <v>156</v>
      </c>
      <c r="N54" s="152"/>
      <c r="O54" s="152">
        <v>1</v>
      </c>
      <c r="P54" s="152"/>
      <c r="Q54" s="152"/>
      <c r="R54" s="152"/>
      <c r="S54" s="152"/>
      <c r="T54" s="153"/>
      <c r="U54" s="152"/>
      <c r="V54" s="152"/>
      <c r="W54" s="152"/>
      <c r="X54" s="152">
        <v>2</v>
      </c>
      <c r="Y54" s="152">
        <v>4</v>
      </c>
      <c r="Z54" s="152">
        <v>58</v>
      </c>
      <c r="AA54" s="152">
        <v>0</v>
      </c>
      <c r="AC54" s="152">
        <v>0</v>
      </c>
      <c r="AD54" s="154">
        <f t="shared" si="0"/>
        <v>1</v>
      </c>
      <c r="AE54" s="102">
        <f t="shared" si="1"/>
        <v>100</v>
      </c>
      <c r="AF54" s="152"/>
      <c r="AG54" s="152"/>
      <c r="AH54" s="152"/>
      <c r="AI54" s="149" t="s">
        <v>116</v>
      </c>
      <c r="AJ54" s="149" t="s">
        <v>186</v>
      </c>
      <c r="AK54" s="245"/>
      <c r="AL54" s="149"/>
      <c r="AM54" s="149"/>
      <c r="AN54" s="155">
        <f t="shared" si="2"/>
        <v>1773705600</v>
      </c>
      <c r="AO54" s="155">
        <f t="shared" si="2"/>
        <v>1773964800</v>
      </c>
    </row>
    <row r="55" spans="1:42" x14ac:dyDescent="0.45">
      <c r="A55" s="142">
        <v>2026</v>
      </c>
      <c r="B55" t="s">
        <v>70</v>
      </c>
      <c r="C55" s="2" t="s">
        <v>39</v>
      </c>
      <c r="D55" s="256">
        <v>46104</v>
      </c>
      <c r="E55" s="256">
        <v>46105</v>
      </c>
      <c r="F55" s="4" t="s">
        <v>40</v>
      </c>
      <c r="G55" s="243">
        <v>1</v>
      </c>
      <c r="H55" s="4"/>
      <c r="I55" s="4" t="s">
        <v>41</v>
      </c>
      <c r="J55" s="158">
        <v>1000</v>
      </c>
      <c r="K55" s="6">
        <v>47</v>
      </c>
      <c r="L55" s="6"/>
      <c r="M55" s="6"/>
      <c r="N55" s="6"/>
      <c r="O55" s="6">
        <v>2</v>
      </c>
      <c r="P55" s="6"/>
      <c r="Q55" s="6"/>
      <c r="R55" s="6"/>
      <c r="S55" s="6"/>
      <c r="T55" s="6"/>
      <c r="U55" s="6"/>
      <c r="V55" s="6"/>
      <c r="W55" s="6"/>
      <c r="X55" s="6">
        <v>2</v>
      </c>
      <c r="Y55" s="6">
        <v>5</v>
      </c>
      <c r="Z55" s="6">
        <v>44</v>
      </c>
      <c r="AA55" s="6">
        <v>0</v>
      </c>
      <c r="AC55" s="6">
        <v>0</v>
      </c>
      <c r="AD55" s="7">
        <f t="shared" si="0"/>
        <v>1</v>
      </c>
      <c r="AE55" s="102">
        <f t="shared" si="1"/>
        <v>100</v>
      </c>
      <c r="AF55" s="6"/>
      <c r="AG55" s="6"/>
      <c r="AH55" s="6"/>
      <c r="AI55" s="8" t="s">
        <v>94</v>
      </c>
      <c r="AJ55" s="159" t="s">
        <v>187</v>
      </c>
      <c r="AK55" s="159"/>
      <c r="AL55" s="9"/>
      <c r="AM55" s="4"/>
      <c r="AN55" s="8">
        <f t="shared" si="2"/>
        <v>1774224000</v>
      </c>
      <c r="AO55" s="8">
        <f t="shared" si="2"/>
        <v>1774310400</v>
      </c>
    </row>
    <row r="56" spans="1:42" x14ac:dyDescent="0.45">
      <c r="A56" s="142">
        <v>2026</v>
      </c>
      <c r="B56" t="s">
        <v>70</v>
      </c>
      <c r="C56" s="2" t="s">
        <v>39</v>
      </c>
      <c r="D56" s="256">
        <v>46104</v>
      </c>
      <c r="E56" s="256">
        <v>46105</v>
      </c>
      <c r="F56" s="4" t="s">
        <v>40</v>
      </c>
      <c r="G56" s="243">
        <v>1</v>
      </c>
      <c r="H56" s="4"/>
      <c r="I56" s="4" t="s">
        <v>41</v>
      </c>
      <c r="J56" s="158">
        <v>1000</v>
      </c>
      <c r="K56" s="6">
        <v>46</v>
      </c>
      <c r="L56" s="6"/>
      <c r="M56" s="6"/>
      <c r="N56" s="6"/>
      <c r="O56" s="6">
        <v>3</v>
      </c>
      <c r="P56" s="6"/>
      <c r="Q56" s="6"/>
      <c r="R56" s="6"/>
      <c r="S56" s="6"/>
      <c r="T56" s="6"/>
      <c r="U56" s="6"/>
      <c r="V56" s="6"/>
      <c r="W56" s="6"/>
      <c r="X56" s="6">
        <v>3</v>
      </c>
      <c r="Y56" s="6">
        <v>8</v>
      </c>
      <c r="Z56" s="6">
        <v>40</v>
      </c>
      <c r="AA56" s="6">
        <v>0</v>
      </c>
      <c r="AC56" s="6">
        <v>0</v>
      </c>
      <c r="AD56" s="7">
        <f t="shared" si="0"/>
        <v>1</v>
      </c>
      <c r="AE56" s="102">
        <f t="shared" si="1"/>
        <v>100</v>
      </c>
      <c r="AF56" s="6"/>
      <c r="AG56" s="6"/>
      <c r="AH56" s="6"/>
      <c r="AI56" s="8" t="s">
        <v>94</v>
      </c>
      <c r="AJ56" s="159" t="s">
        <v>187</v>
      </c>
      <c r="AK56" s="159"/>
      <c r="AL56" s="9"/>
      <c r="AM56" s="4"/>
      <c r="AN56" s="8">
        <f t="shared" si="2"/>
        <v>1774224000</v>
      </c>
      <c r="AO56" s="8">
        <f t="shared" si="2"/>
        <v>1774310400</v>
      </c>
    </row>
    <row r="57" spans="1:42" ht="14.35" customHeight="1" x14ac:dyDescent="0.45">
      <c r="A57" s="142">
        <v>2026</v>
      </c>
      <c r="B57" t="s">
        <v>70</v>
      </c>
      <c r="C57" s="209" t="s">
        <v>39</v>
      </c>
      <c r="D57" s="210">
        <v>46104</v>
      </c>
      <c r="E57" s="210">
        <v>46107</v>
      </c>
      <c r="F57" s="211" t="s">
        <v>141</v>
      </c>
      <c r="G57" s="212" t="s">
        <v>44</v>
      </c>
      <c r="H57" s="246"/>
      <c r="I57" s="211" t="s">
        <v>41</v>
      </c>
      <c r="J57" s="212">
        <v>1000</v>
      </c>
      <c r="K57" s="214">
        <v>40</v>
      </c>
      <c r="L57" s="214"/>
      <c r="M57" s="214"/>
      <c r="N57" s="214"/>
      <c r="O57" s="214">
        <v>2</v>
      </c>
      <c r="P57" s="214"/>
      <c r="Q57" s="214"/>
      <c r="R57" s="214"/>
      <c r="S57" s="214"/>
      <c r="T57" s="215"/>
      <c r="U57" s="214"/>
      <c r="V57" s="214"/>
      <c r="W57" s="214"/>
      <c r="X57" s="214">
        <v>4</v>
      </c>
      <c r="Y57" s="214">
        <v>5</v>
      </c>
      <c r="Z57" s="214">
        <v>49</v>
      </c>
      <c r="AA57" s="214">
        <v>0</v>
      </c>
      <c r="AC57" s="214">
        <v>0</v>
      </c>
      <c r="AD57" s="216">
        <f t="shared" si="0"/>
        <v>1</v>
      </c>
      <c r="AE57" s="102">
        <f t="shared" si="1"/>
        <v>100</v>
      </c>
      <c r="AF57" s="214"/>
      <c r="AG57" s="215"/>
      <c r="AH57" s="215"/>
      <c r="AI57" s="217" t="s">
        <v>94</v>
      </c>
      <c r="AJ57" s="247" t="s">
        <v>188</v>
      </c>
      <c r="AK57" s="247"/>
      <c r="AL57" s="247" t="s">
        <v>189</v>
      </c>
      <c r="AM57" s="211"/>
      <c r="AN57" s="217">
        <f t="shared" si="2"/>
        <v>1774224000</v>
      </c>
      <c r="AO57" s="217">
        <f t="shared" si="2"/>
        <v>1774483200</v>
      </c>
      <c r="AP57" s="217">
        <f t="shared" ref="AP57:AP62" si="3">AVERAGE(AN57:AO57)</f>
        <v>1774353600</v>
      </c>
    </row>
    <row r="58" spans="1:42" ht="14.35" customHeight="1" x14ac:dyDescent="0.45">
      <c r="A58" s="142">
        <v>2026</v>
      </c>
      <c r="B58" t="s">
        <v>70</v>
      </c>
      <c r="C58" s="20" t="s">
        <v>39</v>
      </c>
      <c r="D58" s="81">
        <v>46105</v>
      </c>
      <c r="E58" s="81">
        <v>46109</v>
      </c>
      <c r="F58" s="22" t="s">
        <v>54</v>
      </c>
      <c r="G58" s="23" t="s">
        <v>44</v>
      </c>
      <c r="H58" s="22"/>
      <c r="I58" s="22" t="s">
        <v>159</v>
      </c>
      <c r="J58" s="23">
        <v>1000</v>
      </c>
      <c r="K58" s="26">
        <v>38</v>
      </c>
      <c r="L58" s="26"/>
      <c r="M58" s="26"/>
      <c r="N58" s="26"/>
      <c r="O58" s="26">
        <v>3</v>
      </c>
      <c r="P58" s="26"/>
      <c r="Q58" s="26"/>
      <c r="R58" s="26" t="s">
        <v>156</v>
      </c>
      <c r="S58" s="26"/>
      <c r="T58" s="27"/>
      <c r="U58" s="26"/>
      <c r="V58" s="26"/>
      <c r="W58" s="26"/>
      <c r="X58" s="26">
        <v>3</v>
      </c>
      <c r="Y58" s="26">
        <v>5</v>
      </c>
      <c r="Z58" s="26">
        <v>51</v>
      </c>
      <c r="AA58" s="26">
        <v>0</v>
      </c>
      <c r="AC58" s="26">
        <v>0</v>
      </c>
      <c r="AD58" s="28">
        <f t="shared" si="0"/>
        <v>1</v>
      </c>
      <c r="AE58" s="102">
        <f t="shared" si="1"/>
        <v>100</v>
      </c>
      <c r="AF58" s="26"/>
      <c r="AG58" s="27"/>
      <c r="AH58" s="27"/>
      <c r="AI58" s="29" t="s">
        <v>42</v>
      </c>
      <c r="AJ58" s="238" t="s">
        <v>160</v>
      </c>
      <c r="AK58" s="238" t="s">
        <v>190</v>
      </c>
      <c r="AL58" s="157"/>
      <c r="AM58" s="22"/>
      <c r="AN58" s="29">
        <f t="shared" si="2"/>
        <v>1774310400</v>
      </c>
      <c r="AO58" s="29">
        <f t="shared" si="2"/>
        <v>1774656000</v>
      </c>
      <c r="AP58" s="29">
        <f t="shared" si="3"/>
        <v>1774483200</v>
      </c>
    </row>
    <row r="59" spans="1:42" ht="14.35" customHeight="1" x14ac:dyDescent="0.45">
      <c r="A59" s="142">
        <v>2026</v>
      </c>
      <c r="B59" t="s">
        <v>70</v>
      </c>
      <c r="C59" s="2" t="s">
        <v>39</v>
      </c>
      <c r="D59" s="3">
        <v>46107</v>
      </c>
      <c r="E59" s="3">
        <v>46108</v>
      </c>
      <c r="F59" s="4" t="s">
        <v>40</v>
      </c>
      <c r="G59" s="243">
        <v>1</v>
      </c>
      <c r="H59" s="4"/>
      <c r="I59" s="4" t="s">
        <v>41</v>
      </c>
      <c r="J59" s="158">
        <v>1000</v>
      </c>
      <c r="K59" s="6">
        <v>46</v>
      </c>
      <c r="L59" s="6"/>
      <c r="M59" s="6"/>
      <c r="N59" s="6"/>
      <c r="O59" s="6">
        <v>5</v>
      </c>
      <c r="P59" s="6"/>
      <c r="Q59" s="6"/>
      <c r="R59" s="6"/>
      <c r="S59" s="6"/>
      <c r="T59" s="6"/>
      <c r="U59" s="6"/>
      <c r="V59" s="6"/>
      <c r="W59" s="6"/>
      <c r="X59" s="6">
        <v>2</v>
      </c>
      <c r="Y59" s="6">
        <v>6</v>
      </c>
      <c r="Z59" s="6">
        <v>41</v>
      </c>
      <c r="AA59" s="255">
        <v>0</v>
      </c>
      <c r="AC59" s="255">
        <v>0</v>
      </c>
      <c r="AD59" s="7">
        <f t="shared" si="0"/>
        <v>1</v>
      </c>
      <c r="AE59" s="102">
        <f t="shared" si="1"/>
        <v>100</v>
      </c>
      <c r="AF59" s="6"/>
      <c r="AG59" s="6"/>
      <c r="AH59" s="6"/>
      <c r="AI59" s="8" t="s">
        <v>182</v>
      </c>
      <c r="AJ59" s="159" t="s">
        <v>191</v>
      </c>
      <c r="AK59" s="159"/>
      <c r="AL59" s="159"/>
      <c r="AM59" s="4"/>
      <c r="AN59" s="8">
        <f t="shared" si="2"/>
        <v>1774483200</v>
      </c>
      <c r="AO59" s="8">
        <f t="shared" si="2"/>
        <v>1774569600</v>
      </c>
      <c r="AP59" s="8">
        <f t="shared" si="3"/>
        <v>1774526400</v>
      </c>
    </row>
    <row r="60" spans="1:42" ht="14.35" customHeight="1" x14ac:dyDescent="0.45">
      <c r="A60" s="142">
        <v>2026</v>
      </c>
      <c r="B60" t="s">
        <v>70</v>
      </c>
      <c r="C60" s="70" t="s">
        <v>39</v>
      </c>
      <c r="D60" s="239">
        <v>46108</v>
      </c>
      <c r="E60" s="239">
        <v>46111</v>
      </c>
      <c r="F60" s="72" t="s">
        <v>74</v>
      </c>
      <c r="G60" s="73" t="s">
        <v>44</v>
      </c>
      <c r="H60" s="72"/>
      <c r="I60" s="72" t="s">
        <v>41</v>
      </c>
      <c r="J60" s="240">
        <v>1002</v>
      </c>
      <c r="K60" s="74">
        <v>35</v>
      </c>
      <c r="L60" s="74"/>
      <c r="M60" s="74"/>
      <c r="N60" s="74"/>
      <c r="O60" s="74">
        <v>3</v>
      </c>
      <c r="P60" s="74"/>
      <c r="Q60" s="74"/>
      <c r="R60" s="241"/>
      <c r="S60" s="74"/>
      <c r="T60" s="75"/>
      <c r="U60" s="241"/>
      <c r="V60" s="74"/>
      <c r="W60" s="241"/>
      <c r="X60" s="74">
        <v>3</v>
      </c>
      <c r="Y60" s="74">
        <v>5</v>
      </c>
      <c r="Z60" s="74">
        <v>41</v>
      </c>
      <c r="AA60" s="241"/>
      <c r="AC60" s="241">
        <v>13</v>
      </c>
      <c r="AD60" s="76">
        <f t="shared" si="0"/>
        <v>1.1494252873563218</v>
      </c>
      <c r="AE60" s="102">
        <f t="shared" si="1"/>
        <v>100</v>
      </c>
      <c r="AF60" s="74"/>
      <c r="AG60" s="74"/>
      <c r="AH60" s="74"/>
      <c r="AI60" s="77" t="s">
        <v>112</v>
      </c>
      <c r="AJ60" s="242" t="s">
        <v>192</v>
      </c>
      <c r="AK60" s="242"/>
      <c r="AL60" s="242"/>
      <c r="AM60" s="72"/>
      <c r="AN60" s="77">
        <f t="shared" si="2"/>
        <v>1774569600</v>
      </c>
      <c r="AO60" s="77">
        <f t="shared" si="2"/>
        <v>1774828800</v>
      </c>
      <c r="AP60" s="77">
        <f t="shared" si="3"/>
        <v>1774699200</v>
      </c>
    </row>
    <row r="61" spans="1:42" ht="14.35" customHeight="1" x14ac:dyDescent="0.45">
      <c r="A61" s="142">
        <v>2026</v>
      </c>
      <c r="B61" t="s">
        <v>70</v>
      </c>
      <c r="C61" s="70" t="s">
        <v>39</v>
      </c>
      <c r="D61" s="239">
        <v>46108</v>
      </c>
      <c r="E61" s="239">
        <v>46111</v>
      </c>
      <c r="F61" s="72" t="s">
        <v>74</v>
      </c>
      <c r="G61" s="73" t="s">
        <v>44</v>
      </c>
      <c r="H61" s="72"/>
      <c r="I61" s="72" t="s">
        <v>41</v>
      </c>
      <c r="J61" s="240">
        <v>1002</v>
      </c>
      <c r="K61" s="74">
        <v>40</v>
      </c>
      <c r="L61" s="74"/>
      <c r="M61" s="74"/>
      <c r="N61" s="74"/>
      <c r="O61" s="74">
        <v>3</v>
      </c>
      <c r="P61" s="74"/>
      <c r="Q61" s="74"/>
      <c r="R61" s="241"/>
      <c r="S61" s="74"/>
      <c r="T61" s="75"/>
      <c r="U61" s="241"/>
      <c r="V61" s="74"/>
      <c r="W61" s="241"/>
      <c r="X61" s="74">
        <v>3</v>
      </c>
      <c r="Y61" s="74">
        <v>6</v>
      </c>
      <c r="Z61" s="74">
        <v>49</v>
      </c>
      <c r="AA61" s="241"/>
      <c r="AC61" s="241">
        <v>0</v>
      </c>
      <c r="AD61" s="76">
        <f t="shared" si="0"/>
        <v>0.99009900990099009</v>
      </c>
      <c r="AE61" s="102">
        <f t="shared" si="1"/>
        <v>101</v>
      </c>
      <c r="AF61" s="74"/>
      <c r="AG61" s="74"/>
      <c r="AH61" s="74"/>
      <c r="AI61" s="77" t="s">
        <v>112</v>
      </c>
      <c r="AJ61" s="242" t="s">
        <v>192</v>
      </c>
      <c r="AK61" s="242"/>
      <c r="AL61" s="242"/>
      <c r="AM61" s="72"/>
      <c r="AN61" s="77">
        <f t="shared" si="2"/>
        <v>1774569600</v>
      </c>
      <c r="AO61" s="77">
        <f t="shared" si="2"/>
        <v>1774828800</v>
      </c>
      <c r="AP61" s="77">
        <f t="shared" si="3"/>
        <v>1774699200</v>
      </c>
    </row>
    <row r="62" spans="1:42" ht="14.35" customHeight="1" x14ac:dyDescent="0.45">
      <c r="A62" s="142">
        <v>2026</v>
      </c>
      <c r="B62" t="s">
        <v>70</v>
      </c>
      <c r="C62" s="200" t="s">
        <v>39</v>
      </c>
      <c r="D62" s="201">
        <v>46109</v>
      </c>
      <c r="E62" s="201">
        <v>46110</v>
      </c>
      <c r="F62" s="202" t="s">
        <v>138</v>
      </c>
      <c r="G62" s="203" t="s">
        <v>44</v>
      </c>
      <c r="H62" s="202"/>
      <c r="I62" s="202" t="s">
        <v>41</v>
      </c>
      <c r="J62" s="204">
        <v>1000</v>
      </c>
      <c r="K62" s="205">
        <v>50</v>
      </c>
      <c r="L62" s="205"/>
      <c r="M62" s="205"/>
      <c r="N62" s="205"/>
      <c r="O62" s="205">
        <v>2</v>
      </c>
      <c r="P62" s="205"/>
      <c r="Q62" s="205"/>
      <c r="R62" s="205"/>
      <c r="S62" s="205"/>
      <c r="T62" s="205"/>
      <c r="U62" s="205"/>
      <c r="V62" s="205"/>
      <c r="W62" s="205"/>
      <c r="X62" s="205">
        <v>1</v>
      </c>
      <c r="Y62" s="205">
        <v>5</v>
      </c>
      <c r="Z62" s="205">
        <v>42</v>
      </c>
      <c r="AA62" s="205"/>
      <c r="AC62" s="205">
        <v>0</v>
      </c>
      <c r="AD62" s="206">
        <f t="shared" si="0"/>
        <v>1</v>
      </c>
      <c r="AE62" s="252">
        <f t="shared" si="1"/>
        <v>100</v>
      </c>
      <c r="AF62" s="205"/>
      <c r="AG62" s="205"/>
      <c r="AH62" s="205"/>
      <c r="AI62" s="207" t="s">
        <v>94</v>
      </c>
      <c r="AJ62" s="253" t="s">
        <v>193</v>
      </c>
      <c r="AK62" s="254"/>
      <c r="AL62" s="254"/>
      <c r="AM62" s="202"/>
      <c r="AN62" s="207">
        <f t="shared" si="2"/>
        <v>1774656000</v>
      </c>
      <c r="AO62" s="207">
        <f t="shared" si="2"/>
        <v>1774742400</v>
      </c>
      <c r="AP62" s="207">
        <f t="shared" si="3"/>
        <v>1774699200</v>
      </c>
    </row>
    <row r="63" spans="1:42" ht="14.45" customHeight="1" x14ac:dyDescent="0.45">
      <c r="A63" s="142">
        <v>2026</v>
      </c>
      <c r="B63" t="s">
        <v>70</v>
      </c>
      <c r="C63" s="257" t="s">
        <v>39</v>
      </c>
      <c r="D63" s="258">
        <v>46110</v>
      </c>
      <c r="E63" s="258">
        <v>46116</v>
      </c>
      <c r="F63" s="257" t="s">
        <v>88</v>
      </c>
      <c r="G63" s="259">
        <v>1</v>
      </c>
      <c r="H63" s="257"/>
      <c r="I63" s="257" t="s">
        <v>89</v>
      </c>
      <c r="J63" s="259">
        <v>1500</v>
      </c>
      <c r="K63" s="259">
        <v>37</v>
      </c>
      <c r="L63" s="259">
        <v>0</v>
      </c>
      <c r="M63" s="259">
        <v>0</v>
      </c>
      <c r="N63" s="259">
        <v>0</v>
      </c>
      <c r="O63" s="259">
        <v>4</v>
      </c>
      <c r="P63" s="257"/>
      <c r="Q63" s="259">
        <v>0</v>
      </c>
      <c r="R63" s="259">
        <v>0</v>
      </c>
      <c r="S63" s="257"/>
      <c r="T63" s="257"/>
      <c r="U63" s="259">
        <v>0</v>
      </c>
      <c r="V63" s="259">
        <v>0</v>
      </c>
      <c r="W63" s="257"/>
      <c r="X63" s="259">
        <v>2</v>
      </c>
      <c r="Y63" s="259">
        <v>0</v>
      </c>
      <c r="Z63" s="259">
        <v>5</v>
      </c>
      <c r="AA63" s="259">
        <v>50</v>
      </c>
      <c r="AB63" s="259">
        <v>2</v>
      </c>
      <c r="AC63" s="259" t="s">
        <v>194</v>
      </c>
      <c r="AD63" s="259" t="s">
        <v>195</v>
      </c>
      <c r="AE63" s="260" t="s">
        <v>196</v>
      </c>
      <c r="AF63" s="257"/>
      <c r="AG63" s="257"/>
      <c r="AH63" s="257"/>
      <c r="AI63" s="257" t="s">
        <v>42</v>
      </c>
      <c r="AJ63" s="261" t="s">
        <v>197</v>
      </c>
      <c r="AK63" s="262" t="s">
        <v>198</v>
      </c>
      <c r="AL63" s="257"/>
      <c r="AM63" s="257"/>
      <c r="AN63" s="259">
        <v>1774742400</v>
      </c>
      <c r="AO63" s="259">
        <v>1775260800</v>
      </c>
      <c r="AP63" s="259">
        <v>1775001600</v>
      </c>
    </row>
    <row r="64" spans="1:42" ht="14.45" customHeight="1" x14ac:dyDescent="0.45">
      <c r="A64" s="142">
        <v>2026</v>
      </c>
      <c r="B64" t="s">
        <v>70</v>
      </c>
      <c r="C64" s="263" t="s">
        <v>39</v>
      </c>
      <c r="D64" s="264">
        <v>46112</v>
      </c>
      <c r="E64" s="264">
        <v>46116</v>
      </c>
      <c r="F64" s="263" t="s">
        <v>84</v>
      </c>
      <c r="G64" s="265">
        <v>1</v>
      </c>
      <c r="H64" s="263"/>
      <c r="I64" s="263" t="s">
        <v>41</v>
      </c>
      <c r="J64" s="265">
        <v>1000</v>
      </c>
      <c r="K64" s="265">
        <v>40</v>
      </c>
      <c r="L64" s="263"/>
      <c r="M64" s="263"/>
      <c r="N64" s="263"/>
      <c r="O64" s="265">
        <v>1</v>
      </c>
      <c r="P64" s="263"/>
      <c r="Q64" s="263"/>
      <c r="R64" s="263"/>
      <c r="S64" s="263"/>
      <c r="T64" s="263"/>
      <c r="U64" s="263"/>
      <c r="V64" s="263"/>
      <c r="W64" s="263"/>
      <c r="X64" s="265">
        <v>4</v>
      </c>
      <c r="Y64" s="263"/>
      <c r="Z64" s="265">
        <v>4</v>
      </c>
      <c r="AA64" s="265">
        <v>51</v>
      </c>
      <c r="AB64" s="265">
        <v>0</v>
      </c>
      <c r="AC64" s="265">
        <v>0</v>
      </c>
      <c r="AD64" s="265" t="s">
        <v>195</v>
      </c>
      <c r="AE64" s="260" t="s">
        <v>196</v>
      </c>
      <c r="AF64" s="263"/>
      <c r="AG64" s="263"/>
      <c r="AH64" s="263"/>
      <c r="AI64" s="263" t="s">
        <v>94</v>
      </c>
      <c r="AJ64" s="266" t="s">
        <v>199</v>
      </c>
      <c r="AK64" s="266" t="s">
        <v>200</v>
      </c>
      <c r="AL64" s="267" t="s">
        <v>201</v>
      </c>
      <c r="AM64" s="263"/>
      <c r="AN64" s="265">
        <v>1774915200</v>
      </c>
      <c r="AO64" s="265">
        <v>1775260800</v>
      </c>
      <c r="AP64" s="265">
        <v>1775088000</v>
      </c>
    </row>
    <row r="72" spans="2:2" x14ac:dyDescent="0.45">
      <c r="B72" t="s">
        <v>151</v>
      </c>
    </row>
    <row r="73" spans="2:2" x14ac:dyDescent="0.45">
      <c r="B73" t="s">
        <v>152</v>
      </c>
    </row>
  </sheetData>
  <autoFilter ref="A1:AP37" xr:uid="{00000000-0001-0000-0000-000000000000}"/>
  <hyperlinks>
    <hyperlink ref="AK2" r:id="rId1" xr:uid="{750C49E7-9D2C-4813-92B7-6EC52A85A3F1}"/>
    <hyperlink ref="AI2" r:id="rId2" xr:uid="{2AB5C5DD-9A82-4E04-AC9A-5F30DF9432FB}"/>
    <hyperlink ref="AK3" r:id="rId3" xr:uid="{2F042517-77E4-4E71-9CE4-422594E502C5}"/>
    <hyperlink ref="AJ3" r:id="rId4" xr:uid="{C1950CC0-3985-4068-82A1-8A773ABC4D90}"/>
    <hyperlink ref="AI3" r:id="rId5" xr:uid="{BA74CC12-D2E9-436C-A137-B4B4160A1E5A}"/>
    <hyperlink ref="AI4" r:id="rId6" xr:uid="{754A5EB1-B73B-4A02-B2FF-E55C99530A20}"/>
    <hyperlink ref="AJ5" r:id="rId7" xr:uid="{2B252423-6AD9-42A8-88E0-969301F708A9}"/>
    <hyperlink ref="AI5" r:id="rId8" xr:uid="{0918B3B8-2E09-4135-8726-B8BA534D15D7}"/>
    <hyperlink ref="AJ10" r:id="rId9" xr:uid="{A7965391-D4A4-4615-930C-FBB19409B3A7}"/>
    <hyperlink ref="AK10" r:id="rId10" xr:uid="{95E0F85C-6286-4D13-AE7C-4813DB8CDE78}"/>
    <hyperlink ref="AK11" r:id="rId11" xr:uid="{F0FCB488-CC6F-447C-A2BA-F0999FCEA575}"/>
    <hyperlink ref="AI11" r:id="rId12" xr:uid="{1753C5D7-0433-4792-B397-D451DC9749E4}"/>
    <hyperlink ref="AJ14" r:id="rId13" xr:uid="{480E2362-796B-4971-AA8B-411157813C90}"/>
    <hyperlink ref="AI15" r:id="rId14" xr:uid="{EFD3739C-DD82-4AE6-BDB0-3EEAA34EEA3F}"/>
    <hyperlink ref="AJ16" r:id="rId15" xr:uid="{E228317D-2DD9-4F48-A339-6FEB2B30ABAB}"/>
    <hyperlink ref="AI16" r:id="rId16" xr:uid="{DEEEBC76-0856-4E92-88BC-E4699C45361F}"/>
    <hyperlink ref="AJ17" r:id="rId17" xr:uid="{8D5863CF-EB2F-4B53-B761-AB65A2138786}"/>
    <hyperlink ref="AI17" r:id="rId18" xr:uid="{287B3850-CB43-4DEF-9DF8-E4658EA6E0CA}"/>
    <hyperlink ref="AJ21" r:id="rId19" xr:uid="{CD04EFFA-A6F0-4334-819C-9882D4AC9A43}"/>
    <hyperlink ref="AK21" r:id="rId20" xr:uid="{DF6C591D-F666-461B-9F21-EE6CB6CD9971}"/>
    <hyperlink ref="AI21" r:id="rId21" xr:uid="{57783573-BDC1-4359-A41D-FBA1D3293B2D}"/>
    <hyperlink ref="AJ23" r:id="rId22" xr:uid="{E4B742E6-89CD-42BC-8946-734DFBFB6137}"/>
    <hyperlink ref="AJ24" r:id="rId23" xr:uid="{F26FC904-C711-4D0A-B52B-8044B8A6E328}"/>
    <hyperlink ref="AI24" r:id="rId24" xr:uid="{E82E1FD8-0BAD-49E6-B996-F708E4A6D899}"/>
    <hyperlink ref="AJ31" r:id="rId25" xr:uid="{59D0BFE7-1FC7-4A38-9789-B64C59CB3DCB}"/>
    <hyperlink ref="AK33" r:id="rId26" xr:uid="{FE1A17DF-8500-4DBD-BC76-FA786CCD39B5}"/>
    <hyperlink ref="AK34" r:id="rId27" xr:uid="{6FC7C652-D7C5-4286-AB39-B49D17A66747}"/>
    <hyperlink ref="AK35" r:id="rId28" xr:uid="{54CD5040-20B3-474D-81EA-EF5103EA5265}"/>
    <hyperlink ref="AI38" r:id="rId29" xr:uid="{6EEF65AF-0EB6-4B29-AC1C-35AE3A2D0CD2}"/>
    <hyperlink ref="AJ47" r:id="rId30" xr:uid="{30FDDD27-1DF3-41DA-A118-82831FCA4B7A}"/>
    <hyperlink ref="AJ48" r:id="rId31" xr:uid="{2B093678-F705-417B-B799-81DF29730B96}"/>
    <hyperlink ref="AI48" r:id="rId32" xr:uid="{A4540665-8B55-4C95-8A3F-E41722E3B5E0}"/>
    <hyperlink ref="AK58" r:id="rId33" xr:uid="{C3D535BA-DC37-4BE7-B8A7-B7A941F5DD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B581-320A-40BB-A8E2-DB9582E626C3}">
  <dimension ref="A1:Z64"/>
  <sheetViews>
    <sheetView tabSelected="1" topLeftCell="B37" zoomScale="85" zoomScaleNormal="85" workbookViewId="0">
      <selection activeCell="N44" sqref="N44"/>
    </sheetView>
  </sheetViews>
  <sheetFormatPr defaultRowHeight="14.25" x14ac:dyDescent="0.45"/>
  <cols>
    <col min="3" max="3" width="10.59765625" customWidth="1"/>
    <col min="4" max="4" width="10.796875" customWidth="1"/>
    <col min="5" max="5" width="14" customWidth="1"/>
  </cols>
  <sheetData>
    <row r="1" spans="1:26" x14ac:dyDescent="0.45">
      <c r="A1" t="s">
        <v>43</v>
      </c>
      <c r="B1" t="s">
        <v>150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>
        <v>2014</v>
      </c>
      <c r="B2" t="s">
        <v>70</v>
      </c>
      <c r="C2" s="225">
        <v>41719</v>
      </c>
      <c r="D2" s="225">
        <v>41723</v>
      </c>
      <c r="E2" t="s">
        <v>50</v>
      </c>
      <c r="G2" t="s">
        <v>45</v>
      </c>
      <c r="H2" s="226">
        <v>1200</v>
      </c>
      <c r="I2" s="227">
        <v>47</v>
      </c>
      <c r="J2" s="227"/>
      <c r="K2" s="227">
        <v>21</v>
      </c>
      <c r="L2" s="227">
        <v>3</v>
      </c>
      <c r="M2" s="227"/>
      <c r="N2" s="227"/>
      <c r="O2" s="227"/>
      <c r="P2" s="227"/>
      <c r="Q2" s="227">
        <v>23</v>
      </c>
      <c r="R2" s="227"/>
      <c r="S2" s="227"/>
      <c r="T2" s="227"/>
      <c r="U2" s="228"/>
      <c r="V2" s="227"/>
      <c r="W2" s="227"/>
      <c r="X2" s="228"/>
      <c r="Y2" s="228">
        <v>6</v>
      </c>
      <c r="Z2" s="229">
        <v>0</v>
      </c>
    </row>
    <row r="3" spans="1:26" x14ac:dyDescent="0.45">
      <c r="A3">
        <v>2014</v>
      </c>
      <c r="B3" t="s">
        <v>70</v>
      </c>
      <c r="C3" s="225">
        <v>41725</v>
      </c>
      <c r="D3" s="225">
        <v>41728</v>
      </c>
      <c r="E3" t="s">
        <v>59</v>
      </c>
      <c r="G3" t="s">
        <v>41</v>
      </c>
      <c r="H3" s="226">
        <v>1000</v>
      </c>
      <c r="I3" s="227">
        <v>51</v>
      </c>
      <c r="J3" s="227"/>
      <c r="K3" s="227">
        <v>18</v>
      </c>
      <c r="L3" s="227">
        <v>5</v>
      </c>
      <c r="M3" s="227"/>
      <c r="N3" s="227"/>
      <c r="O3" s="227"/>
      <c r="P3" s="227"/>
      <c r="Q3" s="227">
        <v>25</v>
      </c>
      <c r="R3" s="227"/>
      <c r="S3" s="227"/>
      <c r="T3" s="227"/>
      <c r="U3" s="228"/>
      <c r="V3" s="227"/>
      <c r="W3" s="228"/>
      <c r="X3" s="227"/>
      <c r="Y3" s="228">
        <v>1</v>
      </c>
      <c r="Z3" s="228">
        <v>0</v>
      </c>
    </row>
    <row r="4" spans="1:26" x14ac:dyDescent="0.45">
      <c r="A4">
        <v>2014</v>
      </c>
      <c r="B4" t="s">
        <v>70</v>
      </c>
      <c r="C4" s="225">
        <v>41729</v>
      </c>
      <c r="D4" s="225">
        <v>41731</v>
      </c>
      <c r="E4" t="s">
        <v>40</v>
      </c>
      <c r="G4" t="s">
        <v>45</v>
      </c>
      <c r="H4" s="226">
        <v>1500</v>
      </c>
      <c r="I4" s="227">
        <v>47</v>
      </c>
      <c r="J4" s="227"/>
      <c r="K4" s="227">
        <v>19</v>
      </c>
      <c r="L4" s="227">
        <v>5</v>
      </c>
      <c r="M4" s="227"/>
      <c r="N4" s="227"/>
      <c r="O4" s="227"/>
      <c r="P4" s="227"/>
      <c r="Q4" s="227">
        <v>28</v>
      </c>
      <c r="R4" s="227"/>
      <c r="S4" s="227"/>
      <c r="T4" s="227"/>
      <c r="U4" s="228"/>
      <c r="V4" s="227"/>
      <c r="W4" s="228"/>
      <c r="X4" s="227"/>
      <c r="Y4" s="228"/>
      <c r="Z4" s="228">
        <v>0</v>
      </c>
    </row>
    <row r="5" spans="1:26" x14ac:dyDescent="0.45">
      <c r="A5">
        <v>2018</v>
      </c>
      <c r="B5" t="s">
        <v>70</v>
      </c>
      <c r="C5" s="230">
        <v>43162</v>
      </c>
      <c r="D5" s="230">
        <v>43178</v>
      </c>
      <c r="E5" s="231" t="s">
        <v>40</v>
      </c>
      <c r="F5" s="231"/>
      <c r="G5" s="231" t="s">
        <v>45</v>
      </c>
      <c r="H5" s="232">
        <v>1000</v>
      </c>
      <c r="I5" s="233">
        <v>52</v>
      </c>
      <c r="J5" s="233"/>
      <c r="K5" s="227">
        <v>15</v>
      </c>
      <c r="L5" s="233">
        <v>8</v>
      </c>
      <c r="M5" s="233">
        <v>8</v>
      </c>
      <c r="N5" s="233"/>
      <c r="O5" s="233"/>
      <c r="P5" s="227">
        <v>3</v>
      </c>
      <c r="Q5" s="233"/>
      <c r="R5" s="233">
        <v>11</v>
      </c>
      <c r="S5" s="233"/>
      <c r="T5" s="233"/>
      <c r="U5" s="233"/>
      <c r="V5" s="233">
        <v>2</v>
      </c>
      <c r="W5" s="233"/>
      <c r="X5" s="233"/>
      <c r="Y5" s="233"/>
      <c r="Z5" s="233">
        <v>1</v>
      </c>
    </row>
    <row r="6" spans="1:26" x14ac:dyDescent="0.45">
      <c r="A6">
        <v>2018</v>
      </c>
      <c r="B6" t="s">
        <v>70</v>
      </c>
      <c r="C6" s="230">
        <v>43182</v>
      </c>
      <c r="D6" s="230">
        <v>43186</v>
      </c>
      <c r="E6" s="231" t="s">
        <v>50</v>
      </c>
      <c r="F6" s="231"/>
      <c r="G6" s="231" t="s">
        <v>45</v>
      </c>
      <c r="H6" s="234">
        <v>1200</v>
      </c>
      <c r="I6" s="235">
        <v>53</v>
      </c>
      <c r="J6" s="235"/>
      <c r="K6" s="227">
        <v>16</v>
      </c>
      <c r="L6" s="235">
        <v>7</v>
      </c>
      <c r="M6" s="235">
        <v>6</v>
      </c>
      <c r="N6" s="235">
        <v>1</v>
      </c>
      <c r="O6" s="235"/>
      <c r="P6" s="227">
        <v>2</v>
      </c>
      <c r="Q6" s="235"/>
      <c r="R6" s="233">
        <v>12</v>
      </c>
      <c r="S6" s="235"/>
      <c r="T6" s="235"/>
      <c r="U6" s="235"/>
      <c r="V6" s="235">
        <v>2</v>
      </c>
      <c r="W6" s="235"/>
      <c r="X6" s="235"/>
      <c r="Y6" s="235">
        <v>1</v>
      </c>
      <c r="Z6" s="233">
        <v>0</v>
      </c>
    </row>
    <row r="7" spans="1:26" x14ac:dyDescent="0.45">
      <c r="A7">
        <v>2018</v>
      </c>
      <c r="B7" t="s">
        <v>70</v>
      </c>
      <c r="C7" s="236">
        <v>43187</v>
      </c>
      <c r="D7" s="236">
        <v>43190</v>
      </c>
      <c r="E7" s="231" t="s">
        <v>59</v>
      </c>
      <c r="F7" s="231"/>
      <c r="G7" s="231" t="s">
        <v>41</v>
      </c>
      <c r="H7" s="234">
        <v>1000</v>
      </c>
      <c r="I7" s="233">
        <v>51</v>
      </c>
      <c r="J7" s="233"/>
      <c r="K7" s="227">
        <v>13</v>
      </c>
      <c r="L7" s="233">
        <v>7</v>
      </c>
      <c r="M7" s="233">
        <v>6</v>
      </c>
      <c r="N7" s="233">
        <v>1</v>
      </c>
      <c r="O7" s="233"/>
      <c r="P7" s="227"/>
      <c r="Q7" s="233"/>
      <c r="R7" s="233">
        <v>15</v>
      </c>
      <c r="S7" s="233"/>
      <c r="T7" s="233"/>
      <c r="U7" s="233"/>
      <c r="V7" s="233"/>
      <c r="W7" s="233"/>
      <c r="X7" s="233"/>
      <c r="Y7" s="233">
        <v>7</v>
      </c>
      <c r="Z7" s="233">
        <v>0</v>
      </c>
    </row>
    <row r="8" spans="1:26" x14ac:dyDescent="0.45">
      <c r="A8">
        <v>2018</v>
      </c>
      <c r="B8" t="s">
        <v>70</v>
      </c>
      <c r="C8" s="236">
        <v>43187</v>
      </c>
      <c r="D8" s="236">
        <v>43190</v>
      </c>
      <c r="E8" s="231" t="s">
        <v>88</v>
      </c>
      <c r="F8" s="231"/>
      <c r="G8" s="231"/>
      <c r="H8" s="234"/>
      <c r="I8" s="233">
        <v>39</v>
      </c>
      <c r="J8" s="233"/>
      <c r="K8" s="227">
        <v>21</v>
      </c>
      <c r="L8" s="233">
        <v>6</v>
      </c>
      <c r="M8" s="233">
        <v>13</v>
      </c>
      <c r="N8" s="233">
        <v>2</v>
      </c>
      <c r="O8" s="233"/>
      <c r="P8" s="227">
        <v>1</v>
      </c>
      <c r="Q8" s="233"/>
      <c r="R8" s="233">
        <v>12</v>
      </c>
      <c r="S8" s="233"/>
      <c r="T8" s="233"/>
      <c r="U8" s="233"/>
      <c r="V8" s="233"/>
      <c r="W8" s="233"/>
      <c r="X8" s="233"/>
      <c r="Y8" s="233">
        <v>6</v>
      </c>
      <c r="Z8" s="233"/>
    </row>
    <row r="9" spans="1:26" x14ac:dyDescent="0.45">
      <c r="A9">
        <v>2018</v>
      </c>
      <c r="B9" t="s">
        <v>70</v>
      </c>
      <c r="C9" s="230">
        <v>43184</v>
      </c>
      <c r="D9" s="230">
        <v>43194</v>
      </c>
      <c r="E9" s="231" t="s">
        <v>54</v>
      </c>
      <c r="F9" s="231"/>
      <c r="G9" s="231" t="s">
        <v>45</v>
      </c>
      <c r="H9" s="234">
        <v>1000</v>
      </c>
      <c r="I9" s="233">
        <v>46</v>
      </c>
      <c r="J9" s="233"/>
      <c r="K9" s="227">
        <v>19</v>
      </c>
      <c r="L9" s="233">
        <v>7</v>
      </c>
      <c r="M9" s="233">
        <v>9</v>
      </c>
      <c r="N9" s="233">
        <v>1</v>
      </c>
      <c r="O9" s="233"/>
      <c r="P9" s="227">
        <v>2</v>
      </c>
      <c r="Q9" s="233"/>
      <c r="R9" s="233">
        <v>14</v>
      </c>
      <c r="S9" s="233"/>
      <c r="T9" s="233"/>
      <c r="U9" s="233"/>
      <c r="V9" s="233">
        <v>1</v>
      </c>
      <c r="W9" s="233"/>
      <c r="X9" s="233"/>
      <c r="Y9" s="233">
        <v>1</v>
      </c>
      <c r="Z9" s="233">
        <v>0</v>
      </c>
    </row>
    <row r="10" spans="1:26" x14ac:dyDescent="0.45">
      <c r="A10">
        <v>2018</v>
      </c>
      <c r="B10" t="s">
        <v>70</v>
      </c>
      <c r="C10" s="236">
        <v>43187</v>
      </c>
      <c r="D10" s="236">
        <v>43194</v>
      </c>
      <c r="E10" s="231" t="s">
        <v>74</v>
      </c>
      <c r="F10" s="231"/>
      <c r="G10" s="231"/>
      <c r="H10" s="234"/>
      <c r="I10" s="233">
        <v>45</v>
      </c>
      <c r="J10" s="233"/>
      <c r="K10" s="227">
        <v>20</v>
      </c>
      <c r="L10" s="233">
        <v>7</v>
      </c>
      <c r="M10" s="233">
        <v>5</v>
      </c>
      <c r="N10" s="233"/>
      <c r="O10" s="233"/>
      <c r="P10" s="227">
        <v>2</v>
      </c>
      <c r="Q10" s="233"/>
      <c r="R10" s="233">
        <v>19</v>
      </c>
      <c r="S10" s="233"/>
      <c r="T10" s="233"/>
      <c r="U10" s="233"/>
      <c r="V10" s="233"/>
      <c r="W10" s="233"/>
      <c r="X10" s="233"/>
      <c r="Y10" s="233">
        <v>1</v>
      </c>
      <c r="Z10" s="233"/>
    </row>
    <row r="11" spans="1:26" x14ac:dyDescent="0.45">
      <c r="A11">
        <v>2018</v>
      </c>
      <c r="B11" t="s">
        <v>70</v>
      </c>
      <c r="C11" s="236">
        <v>43193</v>
      </c>
      <c r="D11" s="236">
        <v>43196</v>
      </c>
      <c r="E11" s="231" t="s">
        <v>84</v>
      </c>
      <c r="F11" s="231"/>
      <c r="G11" s="231"/>
      <c r="H11" s="234"/>
      <c r="I11" s="233">
        <v>41</v>
      </c>
      <c r="J11" s="233"/>
      <c r="K11" s="227">
        <v>25</v>
      </c>
      <c r="L11" s="233">
        <v>7</v>
      </c>
      <c r="M11" s="233">
        <v>7</v>
      </c>
      <c r="N11" s="233">
        <v>1</v>
      </c>
      <c r="O11" s="233"/>
      <c r="P11" s="227">
        <v>2</v>
      </c>
      <c r="Q11" s="233"/>
      <c r="R11" s="233">
        <v>13</v>
      </c>
      <c r="S11" s="233"/>
      <c r="T11" s="233"/>
      <c r="U11" s="233"/>
      <c r="V11" s="233">
        <v>2</v>
      </c>
      <c r="W11" s="233"/>
      <c r="X11" s="233"/>
      <c r="Y11" s="233">
        <v>2</v>
      </c>
      <c r="Z11" s="233"/>
    </row>
    <row r="12" spans="1:26" x14ac:dyDescent="0.45">
      <c r="A12">
        <v>2019</v>
      </c>
      <c r="B12" t="s">
        <v>71</v>
      </c>
      <c r="C12" s="230">
        <v>43587</v>
      </c>
      <c r="D12" s="230">
        <v>43591</v>
      </c>
      <c r="E12" s="231" t="s">
        <v>88</v>
      </c>
      <c r="F12" s="231" t="s">
        <v>71</v>
      </c>
      <c r="G12" s="231" t="s">
        <v>89</v>
      </c>
      <c r="H12" s="232">
        <v>2000</v>
      </c>
      <c r="I12" s="233">
        <v>50</v>
      </c>
      <c r="J12" s="233">
        <v>10</v>
      </c>
      <c r="K12" s="227">
        <v>13</v>
      </c>
      <c r="L12" s="233">
        <v>5</v>
      </c>
      <c r="M12" s="233">
        <v>9</v>
      </c>
      <c r="N12" s="233"/>
      <c r="O12" s="233">
        <v>2</v>
      </c>
      <c r="P12" s="227">
        <v>4</v>
      </c>
      <c r="Q12" s="233"/>
      <c r="R12" s="233"/>
      <c r="S12" s="233"/>
      <c r="T12" s="233"/>
      <c r="U12" s="233"/>
      <c r="V12" s="233">
        <v>4</v>
      </c>
      <c r="W12" s="233">
        <v>2</v>
      </c>
      <c r="X12" s="233"/>
      <c r="Y12" s="233">
        <v>1</v>
      </c>
      <c r="Z12" s="233">
        <v>0</v>
      </c>
    </row>
    <row r="13" spans="1:26" x14ac:dyDescent="0.45">
      <c r="A13">
        <v>2019</v>
      </c>
      <c r="B13" t="s">
        <v>71</v>
      </c>
      <c r="C13" s="230">
        <v>43591</v>
      </c>
      <c r="D13" s="230">
        <v>43596</v>
      </c>
      <c r="E13" s="231" t="s">
        <v>84</v>
      </c>
      <c r="F13" s="231" t="s">
        <v>71</v>
      </c>
      <c r="G13" s="231" t="s">
        <v>41</v>
      </c>
      <c r="H13" s="232">
        <v>1000</v>
      </c>
      <c r="I13" s="233">
        <v>50</v>
      </c>
      <c r="J13" s="233"/>
      <c r="K13" s="227">
        <v>14</v>
      </c>
      <c r="L13" s="233">
        <v>5</v>
      </c>
      <c r="M13" s="233">
        <v>8</v>
      </c>
      <c r="N13" s="233"/>
      <c r="O13" s="233"/>
      <c r="P13" s="227">
        <v>6</v>
      </c>
      <c r="Q13" s="233"/>
      <c r="R13" s="233">
        <v>9</v>
      </c>
      <c r="S13" s="233"/>
      <c r="T13" s="233"/>
      <c r="U13" s="233"/>
      <c r="V13" s="233">
        <v>4</v>
      </c>
      <c r="W13" s="233">
        <v>2</v>
      </c>
      <c r="X13" s="233"/>
      <c r="Y13" s="233">
        <v>2</v>
      </c>
      <c r="Z13" s="233">
        <v>0</v>
      </c>
    </row>
    <row r="14" spans="1:26" x14ac:dyDescent="0.45">
      <c r="A14">
        <v>2019</v>
      </c>
      <c r="B14" t="s">
        <v>71</v>
      </c>
      <c r="C14" s="230">
        <v>43589</v>
      </c>
      <c r="D14" s="230">
        <v>43599</v>
      </c>
      <c r="E14" s="231" t="s">
        <v>54</v>
      </c>
      <c r="F14" s="231" t="s">
        <v>71</v>
      </c>
      <c r="G14" s="231" t="s">
        <v>45</v>
      </c>
      <c r="H14" s="232">
        <v>1000</v>
      </c>
      <c r="I14" s="233">
        <v>53</v>
      </c>
      <c r="J14" s="233"/>
      <c r="K14" s="227">
        <v>12</v>
      </c>
      <c r="L14" s="233">
        <v>5</v>
      </c>
      <c r="M14" s="233">
        <v>11</v>
      </c>
      <c r="N14" s="233"/>
      <c r="O14" s="233"/>
      <c r="P14" s="227">
        <v>4</v>
      </c>
      <c r="Q14" s="233"/>
      <c r="R14" s="233">
        <v>12</v>
      </c>
      <c r="S14" s="233"/>
      <c r="T14" s="233"/>
      <c r="U14" s="233"/>
      <c r="V14" s="233">
        <v>2</v>
      </c>
      <c r="W14" s="233">
        <v>2</v>
      </c>
      <c r="X14" s="233"/>
      <c r="Y14" s="233">
        <v>0</v>
      </c>
      <c r="Z14" s="233">
        <v>0</v>
      </c>
    </row>
    <row r="15" spans="1:26" x14ac:dyDescent="0.45">
      <c r="A15">
        <v>2019</v>
      </c>
      <c r="B15" t="s">
        <v>71</v>
      </c>
      <c r="C15" s="230">
        <v>43600</v>
      </c>
      <c r="D15" s="230">
        <v>43603</v>
      </c>
      <c r="E15" s="231" t="s">
        <v>50</v>
      </c>
      <c r="F15" s="231" t="s">
        <v>71</v>
      </c>
      <c r="G15" s="231" t="s">
        <v>45</v>
      </c>
      <c r="H15" s="234">
        <v>1200</v>
      </c>
      <c r="I15" s="233">
        <v>55</v>
      </c>
      <c r="J15" s="233"/>
      <c r="K15" s="227">
        <v>12</v>
      </c>
      <c r="L15" s="233">
        <v>4</v>
      </c>
      <c r="M15" s="233">
        <v>10</v>
      </c>
      <c r="N15" s="233"/>
      <c r="O15" s="233"/>
      <c r="P15" s="227">
        <v>5</v>
      </c>
      <c r="Q15" s="233"/>
      <c r="R15" s="233">
        <v>11</v>
      </c>
      <c r="S15" s="233"/>
      <c r="T15" s="233"/>
      <c r="U15" s="233"/>
      <c r="V15" s="233">
        <v>1</v>
      </c>
      <c r="W15" s="233">
        <v>2</v>
      </c>
      <c r="X15" s="233"/>
      <c r="Y15" s="233">
        <v>0</v>
      </c>
      <c r="Z15" s="233">
        <v>0</v>
      </c>
    </row>
    <row r="16" spans="1:26" x14ac:dyDescent="0.45">
      <c r="A16">
        <v>2019</v>
      </c>
      <c r="B16" t="s">
        <v>71</v>
      </c>
      <c r="C16" s="230">
        <v>43595</v>
      </c>
      <c r="D16" s="230">
        <v>43603</v>
      </c>
      <c r="E16" s="231" t="s">
        <v>59</v>
      </c>
      <c r="F16" s="231" t="s">
        <v>71</v>
      </c>
      <c r="G16" s="231" t="s">
        <v>41</v>
      </c>
      <c r="H16" s="232">
        <v>1000</v>
      </c>
      <c r="I16" s="233">
        <v>54.8</v>
      </c>
      <c r="J16" s="233"/>
      <c r="K16" s="227">
        <v>9.6999999999999993</v>
      </c>
      <c r="L16" s="233">
        <v>3.2</v>
      </c>
      <c r="M16" s="233">
        <v>11.8</v>
      </c>
      <c r="N16" s="233"/>
      <c r="O16" s="233"/>
      <c r="P16" s="227">
        <v>6.5</v>
      </c>
      <c r="Q16" s="233"/>
      <c r="R16" s="233">
        <v>7.5</v>
      </c>
      <c r="S16" s="233"/>
      <c r="T16" s="233"/>
      <c r="U16" s="233"/>
      <c r="V16" s="233"/>
      <c r="W16" s="233">
        <v>3.2</v>
      </c>
      <c r="X16" s="233"/>
      <c r="Y16" s="233">
        <v>3.2</v>
      </c>
      <c r="Z16" s="233">
        <v>0</v>
      </c>
    </row>
    <row r="17" spans="1:26" x14ac:dyDescent="0.45">
      <c r="A17">
        <v>2019</v>
      </c>
      <c r="B17" t="s">
        <v>71</v>
      </c>
      <c r="C17" s="230">
        <v>43602</v>
      </c>
      <c r="D17" s="230">
        <v>43608</v>
      </c>
      <c r="E17" s="231" t="s">
        <v>74</v>
      </c>
      <c r="F17" s="231"/>
      <c r="G17" s="231"/>
      <c r="H17" s="232"/>
      <c r="I17" s="233">
        <v>52</v>
      </c>
      <c r="J17" s="233"/>
      <c r="K17" s="227">
        <v>15</v>
      </c>
      <c r="L17" s="233">
        <v>4</v>
      </c>
      <c r="M17" s="233">
        <v>7</v>
      </c>
      <c r="N17" s="233"/>
      <c r="O17" s="233"/>
      <c r="P17" s="227">
        <v>6</v>
      </c>
      <c r="Q17" s="233"/>
      <c r="R17" s="233">
        <v>16</v>
      </c>
      <c r="S17" s="233"/>
      <c r="T17" s="233"/>
      <c r="U17" s="233"/>
      <c r="V17" s="233"/>
      <c r="W17" s="233"/>
      <c r="X17" s="233"/>
      <c r="Y17" s="233"/>
      <c r="Z17" s="233"/>
    </row>
    <row r="18" spans="1:26" x14ac:dyDescent="0.45">
      <c r="A18">
        <v>2019</v>
      </c>
      <c r="B18" t="s">
        <v>71</v>
      </c>
      <c r="C18" s="230">
        <v>43610</v>
      </c>
      <c r="D18" s="230">
        <v>43611</v>
      </c>
      <c r="E18" s="231" t="s">
        <v>40</v>
      </c>
      <c r="F18" s="231" t="s">
        <v>71</v>
      </c>
      <c r="G18" s="231" t="s">
        <v>41</v>
      </c>
      <c r="H18" s="232">
        <v>1000</v>
      </c>
      <c r="I18" s="233">
        <v>56</v>
      </c>
      <c r="J18" s="233"/>
      <c r="K18" s="227">
        <v>9</v>
      </c>
      <c r="L18" s="233">
        <v>3</v>
      </c>
      <c r="M18" s="233">
        <v>10</v>
      </c>
      <c r="N18" s="233"/>
      <c r="O18" s="233"/>
      <c r="P18" s="227">
        <v>7</v>
      </c>
      <c r="Q18" s="233"/>
      <c r="R18" s="233">
        <v>10</v>
      </c>
      <c r="S18" s="233"/>
      <c r="T18" s="233"/>
      <c r="U18" s="233"/>
      <c r="V18" s="233">
        <v>2</v>
      </c>
      <c r="W18" s="233">
        <v>3</v>
      </c>
      <c r="X18" s="233"/>
      <c r="Y18" s="233"/>
      <c r="Z18" s="233">
        <v>0</v>
      </c>
    </row>
    <row r="19" spans="1:26" x14ac:dyDescent="0.45">
      <c r="A19">
        <v>2022</v>
      </c>
      <c r="B19" t="s">
        <v>70</v>
      </c>
      <c r="C19" s="230">
        <v>44642</v>
      </c>
      <c r="D19" s="230">
        <v>44644</v>
      </c>
      <c r="E19" s="231" t="s">
        <v>124</v>
      </c>
      <c r="F19" s="231"/>
      <c r="G19" s="231"/>
      <c r="H19" s="234"/>
      <c r="I19" s="233">
        <v>49</v>
      </c>
      <c r="J19" s="233"/>
      <c r="K19" s="227"/>
      <c r="L19" s="233"/>
      <c r="M19" s="233"/>
      <c r="N19" s="233"/>
      <c r="O19" s="233"/>
      <c r="P19" s="227"/>
      <c r="Q19" s="233"/>
      <c r="R19" s="233"/>
      <c r="S19" s="233"/>
      <c r="T19" s="233"/>
      <c r="U19" s="233">
        <v>41</v>
      </c>
      <c r="V19" s="233">
        <v>3</v>
      </c>
      <c r="W19" s="233">
        <v>5</v>
      </c>
      <c r="X19" s="233"/>
      <c r="Y19" s="233">
        <v>2</v>
      </c>
      <c r="Z19" s="233"/>
    </row>
    <row r="20" spans="1:26" x14ac:dyDescent="0.45">
      <c r="A20">
        <v>2022</v>
      </c>
      <c r="B20" t="s">
        <v>70</v>
      </c>
      <c r="C20" s="230">
        <v>44643</v>
      </c>
      <c r="D20" s="230">
        <v>44645</v>
      </c>
      <c r="E20" s="231" t="s">
        <v>40</v>
      </c>
      <c r="F20" s="231" t="s">
        <v>92</v>
      </c>
      <c r="G20" s="231" t="s">
        <v>41</v>
      </c>
      <c r="H20" s="234">
        <v>1000</v>
      </c>
      <c r="I20" s="233">
        <v>49</v>
      </c>
      <c r="J20" s="233"/>
      <c r="K20" s="227"/>
      <c r="L20" s="233"/>
      <c r="M20" s="233"/>
      <c r="N20" s="233"/>
      <c r="O20" s="233"/>
      <c r="P20" s="227"/>
      <c r="Q20" s="233"/>
      <c r="R20" s="233"/>
      <c r="S20" s="233"/>
      <c r="T20" s="233"/>
      <c r="U20" s="233">
        <v>44</v>
      </c>
      <c r="V20" s="233">
        <v>3</v>
      </c>
      <c r="W20" s="233">
        <v>3</v>
      </c>
      <c r="X20" s="233"/>
      <c r="Y20" s="233">
        <v>1</v>
      </c>
      <c r="Z20" s="233">
        <v>0</v>
      </c>
    </row>
    <row r="21" spans="1:26" x14ac:dyDescent="0.45">
      <c r="A21">
        <v>2022</v>
      </c>
      <c r="B21" t="s">
        <v>70</v>
      </c>
      <c r="C21" s="230">
        <v>44641</v>
      </c>
      <c r="D21" s="230">
        <v>44646</v>
      </c>
      <c r="E21" s="231" t="s">
        <v>54</v>
      </c>
      <c r="F21" s="231" t="s">
        <v>92</v>
      </c>
      <c r="G21" s="231" t="s">
        <v>45</v>
      </c>
      <c r="H21" s="232">
        <v>1000</v>
      </c>
      <c r="I21" s="233">
        <v>50</v>
      </c>
      <c r="J21" s="233"/>
      <c r="K21" s="227"/>
      <c r="L21" s="233"/>
      <c r="M21" s="233"/>
      <c r="N21" s="233"/>
      <c r="O21" s="233"/>
      <c r="P21" s="227"/>
      <c r="Q21" s="233"/>
      <c r="R21" s="233"/>
      <c r="S21" s="233"/>
      <c r="T21" s="233"/>
      <c r="U21" s="233">
        <v>46</v>
      </c>
      <c r="V21" s="233">
        <v>1</v>
      </c>
      <c r="W21" s="233">
        <v>3</v>
      </c>
      <c r="X21" s="233"/>
      <c r="Y21" s="233">
        <v>0</v>
      </c>
      <c r="Z21" s="233">
        <v>0</v>
      </c>
    </row>
    <row r="22" spans="1:26" x14ac:dyDescent="0.45">
      <c r="A22">
        <v>2022</v>
      </c>
      <c r="B22" t="s">
        <v>70</v>
      </c>
      <c r="C22" s="230">
        <v>44644</v>
      </c>
      <c r="D22" s="230">
        <v>44647</v>
      </c>
      <c r="E22" s="231" t="s">
        <v>59</v>
      </c>
      <c r="F22" s="231" t="s">
        <v>92</v>
      </c>
      <c r="G22" s="231" t="s">
        <v>41</v>
      </c>
      <c r="H22" s="232">
        <v>1000</v>
      </c>
      <c r="I22" s="233">
        <v>49</v>
      </c>
      <c r="J22" s="233"/>
      <c r="K22" s="227"/>
      <c r="L22" s="233"/>
      <c r="M22" s="233"/>
      <c r="N22" s="233"/>
      <c r="O22" s="233"/>
      <c r="P22" s="227"/>
      <c r="Q22" s="233"/>
      <c r="R22" s="233"/>
      <c r="S22" s="233"/>
      <c r="T22" s="233"/>
      <c r="U22" s="233">
        <v>44</v>
      </c>
      <c r="V22" s="233">
        <v>3</v>
      </c>
      <c r="W22" s="233">
        <v>3</v>
      </c>
      <c r="X22" s="233"/>
      <c r="Y22" s="233">
        <v>1</v>
      </c>
      <c r="Z22" s="233">
        <v>0</v>
      </c>
    </row>
    <row r="23" spans="1:26" x14ac:dyDescent="0.45">
      <c r="A23">
        <v>2022</v>
      </c>
      <c r="B23" t="s">
        <v>70</v>
      </c>
      <c r="C23" s="230">
        <v>44642</v>
      </c>
      <c r="D23" s="230">
        <v>44648</v>
      </c>
      <c r="E23" s="231" t="s">
        <v>88</v>
      </c>
      <c r="F23" s="231" t="s">
        <v>92</v>
      </c>
      <c r="G23" s="231" t="s">
        <v>89</v>
      </c>
      <c r="H23" s="232">
        <v>1800</v>
      </c>
      <c r="I23" s="233">
        <v>50</v>
      </c>
      <c r="J23" s="233"/>
      <c r="K23" s="227"/>
      <c r="L23" s="233"/>
      <c r="M23" s="233"/>
      <c r="N23" s="233"/>
      <c r="O23" s="233"/>
      <c r="P23" s="227"/>
      <c r="Q23" s="233"/>
      <c r="R23" s="233"/>
      <c r="S23" s="233"/>
      <c r="T23" s="233"/>
      <c r="U23" s="233">
        <v>45</v>
      </c>
      <c r="V23" s="233">
        <v>2</v>
      </c>
      <c r="W23" s="233">
        <v>3</v>
      </c>
      <c r="X23" s="233"/>
      <c r="Y23" s="233">
        <v>0</v>
      </c>
      <c r="Z23" s="233">
        <v>0</v>
      </c>
    </row>
    <row r="24" spans="1:26" x14ac:dyDescent="0.45">
      <c r="A24">
        <v>2022</v>
      </c>
      <c r="B24" t="s">
        <v>70</v>
      </c>
      <c r="C24" s="230">
        <v>44648</v>
      </c>
      <c r="D24" s="230">
        <v>44650</v>
      </c>
      <c r="E24" s="231" t="s">
        <v>133</v>
      </c>
      <c r="F24" s="231"/>
      <c r="G24" s="231"/>
      <c r="H24" s="234"/>
      <c r="I24" s="233">
        <v>50</v>
      </c>
      <c r="J24" s="233"/>
      <c r="K24" s="227"/>
      <c r="L24" s="233"/>
      <c r="M24" s="233"/>
      <c r="N24" s="233"/>
      <c r="O24" s="233"/>
      <c r="P24" s="227"/>
      <c r="Q24" s="233"/>
      <c r="R24" s="233"/>
      <c r="S24" s="233"/>
      <c r="T24" s="233"/>
      <c r="U24" s="233">
        <v>40</v>
      </c>
      <c r="V24" s="233">
        <v>4</v>
      </c>
      <c r="W24" s="233">
        <v>6</v>
      </c>
      <c r="X24" s="233"/>
      <c r="Y24" s="233"/>
      <c r="Z24" s="233"/>
    </row>
    <row r="25" spans="1:26" x14ac:dyDescent="0.45">
      <c r="A25">
        <v>2022</v>
      </c>
      <c r="B25" t="s">
        <v>70</v>
      </c>
      <c r="C25" s="230">
        <v>44649</v>
      </c>
      <c r="D25" s="230">
        <v>44651</v>
      </c>
      <c r="E25" s="231" t="s">
        <v>74</v>
      </c>
      <c r="F25" s="231" t="s">
        <v>92</v>
      </c>
      <c r="G25" s="231" t="s">
        <v>41</v>
      </c>
      <c r="H25" s="234">
        <v>1025</v>
      </c>
      <c r="I25" s="233">
        <v>47</v>
      </c>
      <c r="J25" s="233"/>
      <c r="K25" s="227"/>
      <c r="L25" s="233"/>
      <c r="M25" s="233"/>
      <c r="N25" s="233"/>
      <c r="O25" s="233"/>
      <c r="P25" s="227"/>
      <c r="Q25" s="233"/>
      <c r="R25" s="233"/>
      <c r="S25" s="233"/>
      <c r="T25" s="233"/>
      <c r="U25" s="233">
        <v>47</v>
      </c>
      <c r="V25" s="233">
        <v>2</v>
      </c>
      <c r="W25" s="233">
        <v>3</v>
      </c>
      <c r="X25" s="233"/>
      <c r="Y25" s="233">
        <v>1</v>
      </c>
      <c r="Z25" s="233">
        <v>0</v>
      </c>
    </row>
    <row r="26" spans="1:26" x14ac:dyDescent="0.45">
      <c r="A26">
        <v>2022</v>
      </c>
      <c r="B26" t="s">
        <v>70</v>
      </c>
      <c r="C26" s="230">
        <v>44650</v>
      </c>
      <c r="D26" s="230">
        <v>44651</v>
      </c>
      <c r="E26" s="231" t="s">
        <v>50</v>
      </c>
      <c r="F26" s="231" t="s">
        <v>92</v>
      </c>
      <c r="G26" s="231" t="s">
        <v>41</v>
      </c>
      <c r="H26" s="234">
        <v>1531</v>
      </c>
      <c r="I26" s="233">
        <v>49</v>
      </c>
      <c r="J26" s="233"/>
      <c r="K26" s="227"/>
      <c r="L26" s="233"/>
      <c r="M26" s="233"/>
      <c r="N26" s="233"/>
      <c r="O26" s="233"/>
      <c r="P26" s="227"/>
      <c r="Q26" s="233"/>
      <c r="R26" s="233"/>
      <c r="S26" s="233"/>
      <c r="T26" s="233"/>
      <c r="U26" s="233">
        <v>41</v>
      </c>
      <c r="V26" s="233">
        <v>4.5</v>
      </c>
      <c r="W26" s="233">
        <v>4.5</v>
      </c>
      <c r="X26" s="233"/>
      <c r="Y26" s="233">
        <v>1</v>
      </c>
      <c r="Z26" s="233">
        <v>0</v>
      </c>
    </row>
    <row r="27" spans="1:26" x14ac:dyDescent="0.45">
      <c r="A27">
        <v>2024</v>
      </c>
      <c r="B27" t="s">
        <v>71</v>
      </c>
      <c r="C27" s="230">
        <v>45399</v>
      </c>
      <c r="D27" s="230">
        <v>45401</v>
      </c>
      <c r="E27" s="231" t="s">
        <v>84</v>
      </c>
      <c r="F27" s="231" t="s">
        <v>71</v>
      </c>
      <c r="G27" s="231" t="s">
        <v>41</v>
      </c>
      <c r="H27" s="232">
        <v>1073</v>
      </c>
      <c r="I27" s="233">
        <v>50</v>
      </c>
      <c r="J27" s="233"/>
      <c r="K27" s="227">
        <v>1</v>
      </c>
      <c r="L27" s="233"/>
      <c r="M27" s="233"/>
      <c r="N27" s="233"/>
      <c r="O27" s="233"/>
      <c r="P27" s="227">
        <v>3</v>
      </c>
      <c r="Q27" s="233">
        <v>10</v>
      </c>
      <c r="R27" s="233"/>
      <c r="S27" s="233"/>
      <c r="T27" s="233"/>
      <c r="U27" s="233"/>
      <c r="V27" s="233">
        <v>4</v>
      </c>
      <c r="W27" s="233">
        <v>3</v>
      </c>
      <c r="X27" s="233">
        <v>26</v>
      </c>
      <c r="Y27" s="233">
        <v>1</v>
      </c>
      <c r="Z27" s="233">
        <v>0</v>
      </c>
    </row>
    <row r="28" spans="1:26" x14ac:dyDescent="0.45">
      <c r="A28">
        <v>2024</v>
      </c>
      <c r="B28" t="s">
        <v>71</v>
      </c>
      <c r="C28" s="230">
        <v>45404</v>
      </c>
      <c r="D28" s="230">
        <v>45408</v>
      </c>
      <c r="E28" s="231" t="s">
        <v>141</v>
      </c>
      <c r="F28" s="231" t="s">
        <v>71</v>
      </c>
      <c r="G28" s="231" t="s">
        <v>41</v>
      </c>
      <c r="H28" s="232">
        <v>1000</v>
      </c>
      <c r="I28" s="233">
        <v>37</v>
      </c>
      <c r="J28" s="233"/>
      <c r="K28" s="227">
        <v>2</v>
      </c>
      <c r="L28" s="233">
        <v>1</v>
      </c>
      <c r="M28" s="233"/>
      <c r="N28" s="233"/>
      <c r="O28" s="233"/>
      <c r="P28" s="227">
        <v>5</v>
      </c>
      <c r="Q28" s="233">
        <v>24</v>
      </c>
      <c r="R28" s="233"/>
      <c r="S28" s="233">
        <v>0</v>
      </c>
      <c r="T28" s="233">
        <v>1</v>
      </c>
      <c r="U28" s="233"/>
      <c r="V28" s="233">
        <v>5</v>
      </c>
      <c r="W28" s="233">
        <v>5</v>
      </c>
      <c r="X28" s="233">
        <v>17</v>
      </c>
      <c r="Y28" s="233">
        <v>2</v>
      </c>
      <c r="Z28" s="233">
        <v>0</v>
      </c>
    </row>
    <row r="29" spans="1:26" x14ac:dyDescent="0.45">
      <c r="A29">
        <v>2024</v>
      </c>
      <c r="B29" t="s">
        <v>71</v>
      </c>
      <c r="C29" s="230">
        <v>45432</v>
      </c>
      <c r="D29" s="230">
        <v>45434</v>
      </c>
      <c r="E29" s="231" t="s">
        <v>40</v>
      </c>
      <c r="F29" s="231" t="s">
        <v>71</v>
      </c>
      <c r="G29" s="231" t="s">
        <v>41</v>
      </c>
      <c r="H29" s="234">
        <v>1000</v>
      </c>
      <c r="I29" s="233">
        <v>47</v>
      </c>
      <c r="J29" s="233"/>
      <c r="K29" s="227">
        <v>1</v>
      </c>
      <c r="L29" s="233">
        <v>1</v>
      </c>
      <c r="M29" s="233"/>
      <c r="N29" s="233"/>
      <c r="O29" s="233"/>
      <c r="P29" s="227">
        <v>1</v>
      </c>
      <c r="Q29" s="233">
        <v>9</v>
      </c>
      <c r="R29" s="233"/>
      <c r="S29" s="233">
        <v>1</v>
      </c>
      <c r="T29" s="233">
        <v>0</v>
      </c>
      <c r="U29" s="233"/>
      <c r="V29" s="233">
        <v>7</v>
      </c>
      <c r="W29" s="233">
        <v>7</v>
      </c>
      <c r="X29" s="233">
        <v>24</v>
      </c>
      <c r="Y29" s="233">
        <v>1</v>
      </c>
      <c r="Z29" s="233">
        <v>0</v>
      </c>
    </row>
    <row r="30" spans="1:26" x14ac:dyDescent="0.45">
      <c r="A30">
        <v>2024</v>
      </c>
      <c r="B30" t="s">
        <v>71</v>
      </c>
      <c r="C30" s="230">
        <v>45434</v>
      </c>
      <c r="D30" s="230">
        <v>45436</v>
      </c>
      <c r="E30" s="231" t="s">
        <v>138</v>
      </c>
      <c r="F30" s="231" t="s">
        <v>71</v>
      </c>
      <c r="G30" s="231" t="s">
        <v>41</v>
      </c>
      <c r="H30" s="234">
        <v>1000</v>
      </c>
      <c r="I30" s="233">
        <v>47</v>
      </c>
      <c r="J30" s="233"/>
      <c r="K30" s="227">
        <v>1</v>
      </c>
      <c r="L30" s="233">
        <v>1</v>
      </c>
      <c r="M30" s="233"/>
      <c r="N30" s="233"/>
      <c r="O30" s="233"/>
      <c r="P30" s="227">
        <v>2</v>
      </c>
      <c r="Q30" s="233">
        <v>8</v>
      </c>
      <c r="R30" s="233"/>
      <c r="S30" s="233">
        <v>1</v>
      </c>
      <c r="T30" s="233">
        <v>0</v>
      </c>
      <c r="U30" s="233"/>
      <c r="V30" s="233">
        <v>6</v>
      </c>
      <c r="W30" s="233">
        <v>6</v>
      </c>
      <c r="X30" s="233">
        <v>26</v>
      </c>
      <c r="Y30" s="233">
        <v>1</v>
      </c>
      <c r="Z30" s="233">
        <v>0</v>
      </c>
    </row>
    <row r="31" spans="1:26" x14ac:dyDescent="0.45">
      <c r="A31">
        <v>2024</v>
      </c>
      <c r="B31" t="s">
        <v>71</v>
      </c>
      <c r="C31" s="230">
        <v>45432</v>
      </c>
      <c r="D31" s="230">
        <v>45440</v>
      </c>
      <c r="E31" s="231" t="s">
        <v>59</v>
      </c>
      <c r="F31" s="231" t="s">
        <v>71</v>
      </c>
      <c r="G31" s="231" t="s">
        <v>41</v>
      </c>
      <c r="H31" s="234">
        <v>1000</v>
      </c>
      <c r="I31" s="233">
        <v>45</v>
      </c>
      <c r="J31" s="233"/>
      <c r="K31" s="227">
        <v>1</v>
      </c>
      <c r="L31" s="233">
        <v>1</v>
      </c>
      <c r="M31" s="233"/>
      <c r="N31" s="233"/>
      <c r="O31" s="233"/>
      <c r="P31" s="227">
        <v>3</v>
      </c>
      <c r="Q31" s="233">
        <v>10</v>
      </c>
      <c r="R31" s="233"/>
      <c r="S31" s="233">
        <v>1</v>
      </c>
      <c r="T31" s="233">
        <v>0</v>
      </c>
      <c r="U31" s="233"/>
      <c r="V31" s="233">
        <v>9</v>
      </c>
      <c r="W31" s="233">
        <v>6</v>
      </c>
      <c r="X31" s="233">
        <v>23</v>
      </c>
      <c r="Y31" s="233">
        <v>0</v>
      </c>
      <c r="Z31" s="233">
        <v>0</v>
      </c>
    </row>
    <row r="32" spans="1:26" x14ac:dyDescent="0.45">
      <c r="A32">
        <v>2024</v>
      </c>
      <c r="B32" t="s">
        <v>71</v>
      </c>
      <c r="C32" s="230">
        <v>45439</v>
      </c>
      <c r="D32" s="230">
        <v>45441</v>
      </c>
      <c r="E32" s="231" t="s">
        <v>124</v>
      </c>
      <c r="F32" s="231" t="s">
        <v>71</v>
      </c>
      <c r="G32" s="231" t="s">
        <v>41</v>
      </c>
      <c r="H32" s="234">
        <v>1000</v>
      </c>
      <c r="I32" s="233">
        <v>45</v>
      </c>
      <c r="J32" s="233"/>
      <c r="K32" s="227">
        <v>1</v>
      </c>
      <c r="L32" s="233">
        <v>0</v>
      </c>
      <c r="M32" s="233"/>
      <c r="N32" s="233"/>
      <c r="O32" s="233"/>
      <c r="P32" s="227">
        <v>1</v>
      </c>
      <c r="Q32" s="233">
        <v>10</v>
      </c>
      <c r="R32" s="233"/>
      <c r="S32" s="233">
        <v>1</v>
      </c>
      <c r="T32" s="233"/>
      <c r="U32" s="233"/>
      <c r="V32" s="233">
        <v>7</v>
      </c>
      <c r="W32" s="233">
        <v>5</v>
      </c>
      <c r="X32" s="233">
        <v>28</v>
      </c>
      <c r="Y32" s="233">
        <v>1</v>
      </c>
      <c r="Z32" s="233">
        <v>0</v>
      </c>
    </row>
    <row r="33" spans="1:26" x14ac:dyDescent="0.45">
      <c r="A33">
        <v>2024</v>
      </c>
      <c r="B33" t="s">
        <v>71</v>
      </c>
      <c r="C33" s="230">
        <v>45432</v>
      </c>
      <c r="D33" s="230">
        <v>45441</v>
      </c>
      <c r="E33" s="231" t="s">
        <v>88</v>
      </c>
      <c r="F33" s="231" t="s">
        <v>71</v>
      </c>
      <c r="G33" s="231" t="s">
        <v>89</v>
      </c>
      <c r="H33" s="232">
        <v>1500</v>
      </c>
      <c r="I33" s="233">
        <v>44</v>
      </c>
      <c r="J33" s="233"/>
      <c r="K33" s="227">
        <v>0</v>
      </c>
      <c r="L33" s="233">
        <v>0</v>
      </c>
      <c r="M33" s="233"/>
      <c r="N33" s="233"/>
      <c r="O33" s="233"/>
      <c r="P33" s="227">
        <v>4</v>
      </c>
      <c r="Q33" s="233">
        <v>12</v>
      </c>
      <c r="R33" s="233"/>
      <c r="S33" s="233">
        <v>1</v>
      </c>
      <c r="T33" s="233"/>
      <c r="U33" s="233"/>
      <c r="V33" s="233">
        <v>4</v>
      </c>
      <c r="W33" s="233">
        <v>5</v>
      </c>
      <c r="X33" s="233">
        <v>26</v>
      </c>
      <c r="Y33" s="233">
        <v>2</v>
      </c>
      <c r="Z33" s="233">
        <v>0</v>
      </c>
    </row>
    <row r="34" spans="1:26" x14ac:dyDescent="0.45">
      <c r="A34">
        <v>2024</v>
      </c>
      <c r="B34" t="s">
        <v>71</v>
      </c>
      <c r="C34" s="230">
        <v>45413</v>
      </c>
      <c r="D34" s="230">
        <v>45441</v>
      </c>
      <c r="E34" s="231" t="s">
        <v>133</v>
      </c>
      <c r="F34" s="231" t="s">
        <v>71</v>
      </c>
      <c r="G34" s="231" t="s">
        <v>41</v>
      </c>
      <c r="H34" s="234">
        <v>4000</v>
      </c>
      <c r="I34" s="233">
        <v>51</v>
      </c>
      <c r="J34" s="233"/>
      <c r="K34" s="227">
        <v>1</v>
      </c>
      <c r="L34" s="233">
        <v>1</v>
      </c>
      <c r="M34" s="233"/>
      <c r="N34" s="233"/>
      <c r="O34" s="233"/>
      <c r="P34" s="227">
        <v>1</v>
      </c>
      <c r="Q34" s="233">
        <v>8</v>
      </c>
      <c r="R34" s="233"/>
      <c r="S34" s="233">
        <v>1</v>
      </c>
      <c r="T34" s="233">
        <v>0</v>
      </c>
      <c r="U34" s="233"/>
      <c r="V34" s="233">
        <v>5</v>
      </c>
      <c r="W34" s="233">
        <v>4</v>
      </c>
      <c r="X34" s="233">
        <v>25</v>
      </c>
      <c r="Y34" s="233">
        <v>0</v>
      </c>
      <c r="Z34" s="233">
        <v>0</v>
      </c>
    </row>
    <row r="35" spans="1:26" x14ac:dyDescent="0.45">
      <c r="A35">
        <v>2024</v>
      </c>
      <c r="B35" t="s">
        <v>71</v>
      </c>
      <c r="C35" s="230">
        <v>45436</v>
      </c>
      <c r="D35" s="230">
        <v>45445</v>
      </c>
      <c r="E35" s="231" t="s">
        <v>54</v>
      </c>
      <c r="F35" s="231" t="s">
        <v>71</v>
      </c>
      <c r="G35" s="231" t="s">
        <v>45</v>
      </c>
      <c r="H35" s="232">
        <v>1000</v>
      </c>
      <c r="I35" s="233">
        <v>45</v>
      </c>
      <c r="J35" s="233"/>
      <c r="K35" s="227">
        <v>1</v>
      </c>
      <c r="L35" s="233">
        <v>2</v>
      </c>
      <c r="M35" s="233"/>
      <c r="N35" s="233"/>
      <c r="O35" s="233"/>
      <c r="P35" s="227">
        <v>4</v>
      </c>
      <c r="Q35" s="233">
        <v>11</v>
      </c>
      <c r="R35" s="233"/>
      <c r="S35" s="233">
        <v>1</v>
      </c>
      <c r="T35" s="233"/>
      <c r="U35" s="233"/>
      <c r="V35" s="233">
        <v>3</v>
      </c>
      <c r="W35" s="233">
        <v>5</v>
      </c>
      <c r="X35" s="233">
        <v>27</v>
      </c>
      <c r="Y35" s="233">
        <v>0</v>
      </c>
      <c r="Z35" s="233">
        <v>0</v>
      </c>
    </row>
    <row r="36" spans="1:26" x14ac:dyDescent="0.45">
      <c r="A36">
        <v>2024</v>
      </c>
      <c r="B36" t="s">
        <v>71</v>
      </c>
      <c r="C36" s="230">
        <v>45446</v>
      </c>
      <c r="D36" s="230">
        <v>45448</v>
      </c>
      <c r="E36" s="231" t="s">
        <v>74</v>
      </c>
      <c r="F36" s="231" t="s">
        <v>71</v>
      </c>
      <c r="G36" s="231" t="s">
        <v>41</v>
      </c>
      <c r="H36" s="234">
        <v>1001</v>
      </c>
      <c r="I36" s="233">
        <v>43</v>
      </c>
      <c r="J36" s="233"/>
      <c r="K36" s="227">
        <v>2</v>
      </c>
      <c r="L36" s="233">
        <v>1</v>
      </c>
      <c r="M36" s="233"/>
      <c r="N36" s="233"/>
      <c r="O36" s="233"/>
      <c r="P36" s="227">
        <v>4</v>
      </c>
      <c r="Q36" s="233">
        <v>15</v>
      </c>
      <c r="R36" s="233"/>
      <c r="S36" s="233"/>
      <c r="T36" s="233">
        <v>0</v>
      </c>
      <c r="U36" s="233"/>
      <c r="V36" s="233">
        <v>4</v>
      </c>
      <c r="W36" s="233">
        <v>5</v>
      </c>
      <c r="X36" s="233">
        <v>25</v>
      </c>
      <c r="Y36" s="233">
        <v>1</v>
      </c>
      <c r="Z36" s="233">
        <v>0</v>
      </c>
    </row>
    <row r="37" spans="1:26" x14ac:dyDescent="0.45">
      <c r="A37">
        <v>2024</v>
      </c>
      <c r="B37" t="s">
        <v>71</v>
      </c>
      <c r="C37" s="230">
        <v>45443</v>
      </c>
      <c r="D37" s="230">
        <v>45448</v>
      </c>
      <c r="E37" s="231" t="s">
        <v>50</v>
      </c>
      <c r="F37" s="231" t="s">
        <v>71</v>
      </c>
      <c r="G37" s="231" t="s">
        <v>41</v>
      </c>
      <c r="H37" s="234">
        <v>1000</v>
      </c>
      <c r="I37" s="233">
        <v>50</v>
      </c>
      <c r="J37" s="233"/>
      <c r="K37" s="227">
        <v>1</v>
      </c>
      <c r="L37" s="233">
        <v>0</v>
      </c>
      <c r="M37" s="233"/>
      <c r="N37" s="233"/>
      <c r="O37" s="233"/>
      <c r="P37" s="227">
        <v>3</v>
      </c>
      <c r="Q37" s="233">
        <v>9</v>
      </c>
      <c r="R37" s="233"/>
      <c r="S37" s="233">
        <v>0</v>
      </c>
      <c r="T37" s="233">
        <v>0</v>
      </c>
      <c r="U37" s="233"/>
      <c r="V37" s="233">
        <v>4</v>
      </c>
      <c r="W37" s="233">
        <v>5</v>
      </c>
      <c r="X37" s="233">
        <v>27</v>
      </c>
      <c r="Y37" s="233">
        <v>0</v>
      </c>
      <c r="Z37" s="233">
        <v>0</v>
      </c>
    </row>
    <row r="38" spans="1:26" x14ac:dyDescent="0.45">
      <c r="A38">
        <v>2026</v>
      </c>
      <c r="B38" t="s">
        <v>70</v>
      </c>
      <c r="C38" s="230">
        <v>46078</v>
      </c>
      <c r="D38" s="230">
        <v>46083</v>
      </c>
      <c r="E38" s="231" t="s">
        <v>59</v>
      </c>
      <c r="F38" s="231"/>
      <c r="G38" s="231" t="s">
        <v>41</v>
      </c>
      <c r="H38" s="234">
        <v>1000</v>
      </c>
      <c r="I38" s="227">
        <v>43</v>
      </c>
      <c r="J38" s="233"/>
      <c r="K38" s="227"/>
      <c r="L38" s="233"/>
      <c r="M38" s="233">
        <v>5</v>
      </c>
      <c r="N38" s="233"/>
      <c r="O38" s="233"/>
      <c r="P38" s="227"/>
      <c r="Q38" s="233"/>
      <c r="R38" s="233"/>
      <c r="S38" s="233"/>
      <c r="T38" s="233"/>
      <c r="U38" s="233"/>
      <c r="V38" s="227">
        <v>3</v>
      </c>
      <c r="W38" s="227">
        <v>5</v>
      </c>
      <c r="X38" s="227">
        <v>37</v>
      </c>
      <c r="Y38" s="227">
        <v>1</v>
      </c>
      <c r="Z38" s="227">
        <v>6</v>
      </c>
    </row>
    <row r="39" spans="1:26" x14ac:dyDescent="0.45">
      <c r="A39">
        <v>2026</v>
      </c>
      <c r="B39" t="s">
        <v>70</v>
      </c>
      <c r="C39" s="230">
        <v>46075</v>
      </c>
      <c r="D39" s="230">
        <v>46081</v>
      </c>
      <c r="E39" s="231" t="s">
        <v>54</v>
      </c>
      <c r="F39" s="231"/>
      <c r="G39" s="231" t="s">
        <v>159</v>
      </c>
      <c r="H39" s="234">
        <v>1000</v>
      </c>
      <c r="I39" s="227">
        <v>38</v>
      </c>
      <c r="J39" s="233"/>
      <c r="K39" s="227"/>
      <c r="L39" s="233"/>
      <c r="M39" s="233">
        <v>3</v>
      </c>
      <c r="N39" s="233"/>
      <c r="O39" s="233"/>
      <c r="P39" s="227"/>
      <c r="Q39" s="233"/>
      <c r="R39" s="233"/>
      <c r="S39" s="233"/>
      <c r="T39" s="233"/>
      <c r="U39" s="233"/>
      <c r="V39" s="227">
        <v>2</v>
      </c>
      <c r="W39" s="227">
        <v>7</v>
      </c>
      <c r="X39" s="227">
        <v>50</v>
      </c>
      <c r="Y39" s="227">
        <v>0</v>
      </c>
      <c r="Z39" s="227">
        <v>0</v>
      </c>
    </row>
    <row r="40" spans="1:26" x14ac:dyDescent="0.45">
      <c r="A40">
        <v>2026</v>
      </c>
      <c r="B40" t="s">
        <v>70</v>
      </c>
      <c r="C40" s="230">
        <v>46077</v>
      </c>
      <c r="D40" s="230">
        <v>46080</v>
      </c>
      <c r="E40" s="231" t="s">
        <v>74</v>
      </c>
      <c r="F40" s="231"/>
      <c r="G40" s="231" t="s">
        <v>41</v>
      </c>
      <c r="H40" s="234">
        <v>1001</v>
      </c>
      <c r="I40" s="227">
        <v>35</v>
      </c>
      <c r="J40" s="233"/>
      <c r="K40" s="227"/>
      <c r="L40" s="233"/>
      <c r="M40" s="233">
        <v>4</v>
      </c>
      <c r="N40" s="233"/>
      <c r="O40" s="233"/>
      <c r="P40" s="227"/>
      <c r="Q40" s="233"/>
      <c r="R40" s="233"/>
      <c r="S40" s="233"/>
      <c r="T40" s="233"/>
      <c r="U40" s="233"/>
      <c r="V40" s="227">
        <v>3</v>
      </c>
      <c r="W40" s="227">
        <v>5</v>
      </c>
      <c r="X40" s="227">
        <v>40</v>
      </c>
      <c r="Y40" s="227"/>
      <c r="Z40" s="227">
        <v>14</v>
      </c>
    </row>
    <row r="41" spans="1:26" x14ac:dyDescent="0.45">
      <c r="A41">
        <v>2026</v>
      </c>
      <c r="B41" t="s">
        <v>70</v>
      </c>
      <c r="C41" s="230">
        <v>46077</v>
      </c>
      <c r="D41" s="230">
        <v>46080</v>
      </c>
      <c r="E41" s="231" t="s">
        <v>74</v>
      </c>
      <c r="F41" s="231"/>
      <c r="G41" s="231" t="s">
        <v>41</v>
      </c>
      <c r="H41" s="234">
        <v>1001</v>
      </c>
      <c r="I41" s="227">
        <v>39</v>
      </c>
      <c r="J41" s="233"/>
      <c r="K41" s="227"/>
      <c r="L41" s="233"/>
      <c r="M41" s="233">
        <v>4</v>
      </c>
      <c r="N41" s="233"/>
      <c r="O41" s="233"/>
      <c r="P41" s="227"/>
      <c r="Q41" s="233"/>
      <c r="R41" s="233"/>
      <c r="S41" s="233"/>
      <c r="T41" s="233"/>
      <c r="U41" s="233"/>
      <c r="V41" s="227">
        <v>4</v>
      </c>
      <c r="W41" s="227">
        <v>6</v>
      </c>
      <c r="X41" s="227">
        <v>47</v>
      </c>
      <c r="Y41" s="227"/>
      <c r="Z41" s="227">
        <v>0</v>
      </c>
    </row>
    <row r="42" spans="1:26" x14ac:dyDescent="0.45">
      <c r="A42">
        <v>2026</v>
      </c>
      <c r="B42" t="s">
        <v>70</v>
      </c>
      <c r="C42" s="230">
        <v>46076</v>
      </c>
      <c r="D42" s="230">
        <v>46079</v>
      </c>
      <c r="E42" s="231" t="s">
        <v>40</v>
      </c>
      <c r="F42" s="231"/>
      <c r="G42" s="231" t="s">
        <v>41</v>
      </c>
      <c r="H42" s="234">
        <v>1000</v>
      </c>
      <c r="I42" s="227">
        <v>45</v>
      </c>
      <c r="J42" s="233"/>
      <c r="K42" s="227"/>
      <c r="L42" s="233"/>
      <c r="M42" s="233">
        <v>3</v>
      </c>
      <c r="N42" s="233"/>
      <c r="O42" s="233"/>
      <c r="P42" s="227"/>
      <c r="Q42" s="233"/>
      <c r="R42" s="233"/>
      <c r="S42" s="233"/>
      <c r="T42" s="233"/>
      <c r="U42" s="233"/>
      <c r="V42" s="227">
        <v>4</v>
      </c>
      <c r="W42" s="227">
        <v>8</v>
      </c>
      <c r="X42" s="227">
        <v>40</v>
      </c>
      <c r="Y42" s="227">
        <v>0</v>
      </c>
      <c r="Z42" s="227">
        <v>0</v>
      </c>
    </row>
    <row r="43" spans="1:26" x14ac:dyDescent="0.45">
      <c r="A43">
        <v>2026</v>
      </c>
      <c r="B43" t="s">
        <v>70</v>
      </c>
      <c r="C43" s="230">
        <v>46071</v>
      </c>
      <c r="D43" s="230">
        <v>46076</v>
      </c>
      <c r="E43" s="231" t="s">
        <v>50</v>
      </c>
      <c r="F43" s="231"/>
      <c r="G43" s="231" t="s">
        <v>41</v>
      </c>
      <c r="H43" s="234">
        <v>1000</v>
      </c>
      <c r="I43" s="227">
        <v>35</v>
      </c>
      <c r="J43" s="233"/>
      <c r="K43" s="227"/>
      <c r="L43" s="233"/>
      <c r="M43" s="233">
        <v>2</v>
      </c>
      <c r="N43" s="233"/>
      <c r="O43" s="233"/>
      <c r="P43" s="227"/>
      <c r="Q43" s="233"/>
      <c r="R43" s="233"/>
      <c r="S43" s="233"/>
      <c r="T43" s="233"/>
      <c r="U43" s="233"/>
      <c r="V43" s="227">
        <v>2</v>
      </c>
      <c r="W43" s="227">
        <v>6</v>
      </c>
      <c r="X43" s="227">
        <v>55</v>
      </c>
      <c r="Y43" s="227">
        <v>1</v>
      </c>
      <c r="Z43" s="227">
        <v>0</v>
      </c>
    </row>
    <row r="44" spans="1:26" x14ac:dyDescent="0.45">
      <c r="A44">
        <v>2026</v>
      </c>
      <c r="B44" t="s">
        <v>70</v>
      </c>
      <c r="C44" s="230">
        <v>46065</v>
      </c>
      <c r="D44" s="230">
        <v>46070</v>
      </c>
      <c r="E44" s="231" t="s">
        <v>141</v>
      </c>
      <c r="F44" s="231"/>
      <c r="G44" s="231" t="s">
        <v>41</v>
      </c>
      <c r="H44" s="234">
        <v>1000</v>
      </c>
      <c r="I44" s="227">
        <v>39</v>
      </c>
      <c r="J44" s="233"/>
      <c r="K44" s="227"/>
      <c r="L44" s="233"/>
      <c r="M44" s="233">
        <v>3</v>
      </c>
      <c r="N44" s="233"/>
      <c r="O44" s="233"/>
      <c r="P44" s="227"/>
      <c r="Q44" s="233"/>
      <c r="R44" s="233"/>
      <c r="S44" s="233"/>
      <c r="T44" s="233"/>
      <c r="U44" s="233"/>
      <c r="V44" s="227">
        <v>5</v>
      </c>
      <c r="W44" s="227">
        <v>6</v>
      </c>
      <c r="X44" s="227">
        <v>47</v>
      </c>
      <c r="Y44" s="227">
        <v>0</v>
      </c>
      <c r="Z44" s="227">
        <v>0</v>
      </c>
    </row>
    <row r="45" spans="1:26" x14ac:dyDescent="0.45">
      <c r="A45">
        <v>2026</v>
      </c>
      <c r="B45" t="s">
        <v>70</v>
      </c>
      <c r="C45" s="230">
        <v>46062</v>
      </c>
      <c r="D45" s="230">
        <v>46065</v>
      </c>
      <c r="E45" s="231" t="s">
        <v>74</v>
      </c>
      <c r="F45" s="231"/>
      <c r="G45" s="231" t="s">
        <v>41</v>
      </c>
      <c r="H45" s="234">
        <v>1000</v>
      </c>
      <c r="I45" s="227">
        <v>34</v>
      </c>
      <c r="J45" s="233"/>
      <c r="K45" s="227"/>
      <c r="L45" s="233"/>
      <c r="M45" s="233">
        <v>4</v>
      </c>
      <c r="N45" s="233"/>
      <c r="O45" s="233"/>
      <c r="P45" s="227"/>
      <c r="Q45" s="233"/>
      <c r="R45" s="233"/>
      <c r="S45" s="233"/>
      <c r="T45" s="233"/>
      <c r="U45" s="233"/>
      <c r="V45" s="227">
        <v>3</v>
      </c>
      <c r="W45" s="227">
        <v>4</v>
      </c>
      <c r="X45" s="227">
        <v>41</v>
      </c>
      <c r="Y45" s="227"/>
      <c r="Z45" s="227">
        <v>14</v>
      </c>
    </row>
    <row r="46" spans="1:26" x14ac:dyDescent="0.45">
      <c r="A46">
        <v>2026</v>
      </c>
      <c r="B46" t="s">
        <v>70</v>
      </c>
      <c r="C46" s="230">
        <v>46062</v>
      </c>
      <c r="D46" s="230">
        <v>46065</v>
      </c>
      <c r="E46" s="231" t="s">
        <v>74</v>
      </c>
      <c r="F46" s="231"/>
      <c r="G46" s="231" t="s">
        <v>41</v>
      </c>
      <c r="H46" s="234">
        <v>1000</v>
      </c>
      <c r="I46" s="227">
        <v>39</v>
      </c>
      <c r="J46" s="233"/>
      <c r="K46" s="227"/>
      <c r="L46" s="233"/>
      <c r="M46" s="233">
        <v>5</v>
      </c>
      <c r="N46" s="233"/>
      <c r="O46" s="233"/>
      <c r="P46" s="227"/>
      <c r="Q46" s="233"/>
      <c r="R46" s="233"/>
      <c r="S46" s="233"/>
      <c r="T46" s="233"/>
      <c r="U46" s="233"/>
      <c r="V46" s="227">
        <v>4</v>
      </c>
      <c r="W46" s="227">
        <v>5</v>
      </c>
      <c r="X46" s="227">
        <v>48</v>
      </c>
      <c r="Y46" s="227"/>
      <c r="Z46" s="227">
        <v>0</v>
      </c>
    </row>
    <row r="47" spans="1:26" x14ac:dyDescent="0.45">
      <c r="A47">
        <v>2026</v>
      </c>
      <c r="B47" t="s">
        <v>70</v>
      </c>
      <c r="C47" s="230">
        <v>46062</v>
      </c>
      <c r="D47" s="230">
        <v>46064</v>
      </c>
      <c r="E47" s="231" t="s">
        <v>40</v>
      </c>
      <c r="F47" s="231"/>
      <c r="G47" s="231" t="s">
        <v>41</v>
      </c>
      <c r="H47" s="234">
        <v>1000</v>
      </c>
      <c r="I47" s="227">
        <v>46</v>
      </c>
      <c r="J47" s="233"/>
      <c r="K47" s="227"/>
      <c r="L47" s="233"/>
      <c r="M47" s="233">
        <v>4</v>
      </c>
      <c r="N47" s="233"/>
      <c r="O47" s="233"/>
      <c r="P47" s="227"/>
      <c r="Q47" s="233"/>
      <c r="R47" s="233"/>
      <c r="S47" s="233"/>
      <c r="T47" s="233"/>
      <c r="U47" s="233"/>
      <c r="V47" s="227">
        <v>3</v>
      </c>
      <c r="W47" s="227">
        <v>7</v>
      </c>
      <c r="X47" s="227">
        <v>40</v>
      </c>
      <c r="Y47" s="227">
        <v>0</v>
      </c>
      <c r="Z47" s="227">
        <v>0</v>
      </c>
    </row>
    <row r="48" spans="1:26" x14ac:dyDescent="0.45">
      <c r="A48">
        <v>2026</v>
      </c>
      <c r="B48" t="s">
        <v>70</v>
      </c>
      <c r="C48" s="230">
        <v>46055</v>
      </c>
      <c r="D48" s="230">
        <v>46063</v>
      </c>
      <c r="E48" s="231" t="s">
        <v>84</v>
      </c>
      <c r="F48" s="231"/>
      <c r="G48" s="231" t="s">
        <v>41</v>
      </c>
      <c r="H48" s="234">
        <v>1000</v>
      </c>
      <c r="I48" s="227">
        <v>37</v>
      </c>
      <c r="J48" s="233"/>
      <c r="K48" s="227"/>
      <c r="L48" s="233"/>
      <c r="M48" s="233">
        <v>2</v>
      </c>
      <c r="N48" s="233"/>
      <c r="O48" s="233"/>
      <c r="P48" s="227"/>
      <c r="Q48" s="233"/>
      <c r="R48" s="233"/>
      <c r="S48" s="233"/>
      <c r="T48" s="233"/>
      <c r="U48" s="233"/>
      <c r="V48" s="227">
        <v>5</v>
      </c>
      <c r="W48" s="227">
        <v>6</v>
      </c>
      <c r="X48" s="227">
        <v>50</v>
      </c>
      <c r="Y48" s="227">
        <v>0</v>
      </c>
      <c r="Z48" s="227">
        <v>0</v>
      </c>
    </row>
    <row r="49" spans="1:26" x14ac:dyDescent="0.45">
      <c r="A49">
        <v>2026</v>
      </c>
      <c r="B49" t="s">
        <v>70</v>
      </c>
      <c r="C49" s="230">
        <v>46053</v>
      </c>
      <c r="D49" s="230">
        <v>46059</v>
      </c>
      <c r="E49" s="231" t="s">
        <v>88</v>
      </c>
      <c r="F49" s="231"/>
      <c r="G49" s="231" t="s">
        <v>89</v>
      </c>
      <c r="H49" s="234">
        <v>1500</v>
      </c>
      <c r="I49" s="227">
        <v>38</v>
      </c>
      <c r="J49" s="233">
        <v>0</v>
      </c>
      <c r="K49" s="227">
        <v>0</v>
      </c>
      <c r="L49" s="233">
        <v>0</v>
      </c>
      <c r="M49" s="233">
        <v>5</v>
      </c>
      <c r="N49" s="233"/>
      <c r="O49" s="233">
        <v>0</v>
      </c>
      <c r="P49" s="227">
        <v>0</v>
      </c>
      <c r="Q49" s="233"/>
      <c r="R49" s="233"/>
      <c r="S49" s="233">
        <v>0</v>
      </c>
      <c r="T49" s="233">
        <v>0</v>
      </c>
      <c r="U49" s="233"/>
      <c r="V49" s="227">
        <v>3</v>
      </c>
      <c r="W49" s="227">
        <v>5</v>
      </c>
      <c r="X49" s="227">
        <v>48</v>
      </c>
      <c r="Y49" s="227">
        <v>1</v>
      </c>
      <c r="Z49" s="227">
        <v>0</v>
      </c>
    </row>
    <row r="50" spans="1:26" x14ac:dyDescent="0.45">
      <c r="A50">
        <v>2026</v>
      </c>
      <c r="B50" t="s">
        <v>70</v>
      </c>
      <c r="C50" s="230">
        <v>46055</v>
      </c>
      <c r="D50" s="230">
        <v>46058</v>
      </c>
      <c r="E50" s="231" t="s">
        <v>138</v>
      </c>
      <c r="F50" s="231"/>
      <c r="G50" s="231" t="s">
        <v>41</v>
      </c>
      <c r="H50" s="234">
        <v>1000</v>
      </c>
      <c r="I50" s="227">
        <v>49</v>
      </c>
      <c r="J50" s="233"/>
      <c r="K50" s="227"/>
      <c r="L50" s="233"/>
      <c r="M50" s="233">
        <v>2</v>
      </c>
      <c r="N50" s="233"/>
      <c r="O50" s="233"/>
      <c r="P50" s="227"/>
      <c r="Q50" s="233"/>
      <c r="R50" s="233"/>
      <c r="S50" s="233"/>
      <c r="T50" s="233"/>
      <c r="U50" s="233"/>
      <c r="V50" s="227">
        <v>2</v>
      </c>
      <c r="W50" s="227">
        <v>5</v>
      </c>
      <c r="X50" s="227">
        <v>42</v>
      </c>
      <c r="Y50" s="227"/>
      <c r="Z50" s="227">
        <v>0</v>
      </c>
    </row>
    <row r="51" spans="1:26" x14ac:dyDescent="0.45">
      <c r="A51">
        <v>2026</v>
      </c>
      <c r="B51" t="s">
        <v>70</v>
      </c>
      <c r="C51" s="230">
        <v>46081</v>
      </c>
      <c r="D51" s="230">
        <v>46087</v>
      </c>
      <c r="E51" t="s">
        <v>88</v>
      </c>
      <c r="G51" t="s">
        <v>89</v>
      </c>
      <c r="H51" s="234">
        <v>1500</v>
      </c>
      <c r="I51" s="227">
        <v>37</v>
      </c>
      <c r="J51" s="227">
        <v>0</v>
      </c>
      <c r="K51" s="227">
        <v>0</v>
      </c>
      <c r="L51" s="227">
        <v>0</v>
      </c>
      <c r="M51" s="227">
        <v>5</v>
      </c>
      <c r="N51" s="227"/>
      <c r="O51" s="227">
        <v>0</v>
      </c>
      <c r="P51" s="227">
        <v>0</v>
      </c>
      <c r="Q51" s="227"/>
      <c r="R51" s="227"/>
      <c r="S51" s="227">
        <v>0</v>
      </c>
      <c r="T51" s="227">
        <v>0</v>
      </c>
      <c r="U51" s="227"/>
      <c r="V51" s="227">
        <v>2</v>
      </c>
      <c r="W51" s="227">
        <v>6</v>
      </c>
      <c r="X51" s="227">
        <v>49</v>
      </c>
      <c r="Y51" s="227">
        <v>1</v>
      </c>
      <c r="Z51" s="227">
        <v>0</v>
      </c>
    </row>
    <row r="52" spans="1:26" x14ac:dyDescent="0.45">
      <c r="A52">
        <v>2026</v>
      </c>
      <c r="B52" t="s">
        <v>70</v>
      </c>
      <c r="C52" s="230">
        <v>46088</v>
      </c>
      <c r="D52" s="230">
        <v>46090</v>
      </c>
      <c r="E52" t="s">
        <v>40</v>
      </c>
      <c r="G52" t="s">
        <v>41</v>
      </c>
      <c r="H52" s="234">
        <v>1000</v>
      </c>
      <c r="I52" s="227">
        <v>46</v>
      </c>
      <c r="J52" s="227"/>
      <c r="K52" s="227"/>
      <c r="L52" s="227"/>
      <c r="M52" s="227">
        <v>4</v>
      </c>
      <c r="N52" s="227"/>
      <c r="O52" s="227"/>
      <c r="P52" s="227"/>
      <c r="Q52" s="227"/>
      <c r="R52" s="227"/>
      <c r="S52" s="227"/>
      <c r="T52" s="227"/>
      <c r="U52" s="227"/>
      <c r="V52" s="227">
        <v>3</v>
      </c>
      <c r="W52" s="227">
        <v>6</v>
      </c>
      <c r="X52" s="227">
        <v>41</v>
      </c>
      <c r="Y52" s="227">
        <v>0</v>
      </c>
    </row>
    <row r="53" spans="1:26" x14ac:dyDescent="0.45">
      <c r="A53">
        <v>2026</v>
      </c>
      <c r="B53" t="s">
        <v>70</v>
      </c>
      <c r="C53" s="230">
        <v>46097</v>
      </c>
      <c r="D53" s="230">
        <v>46098</v>
      </c>
      <c r="E53" t="s">
        <v>40</v>
      </c>
      <c r="G53" t="s">
        <v>41</v>
      </c>
      <c r="H53" s="234">
        <v>1000</v>
      </c>
      <c r="I53" s="227">
        <v>46</v>
      </c>
      <c r="J53" s="227"/>
      <c r="K53" s="227"/>
      <c r="L53" s="227"/>
      <c r="M53" s="227">
        <v>3</v>
      </c>
      <c r="N53" s="227"/>
      <c r="O53" s="227"/>
      <c r="P53" s="227"/>
      <c r="Q53" s="227"/>
      <c r="R53" s="227"/>
      <c r="S53" s="227"/>
      <c r="T53" s="227"/>
      <c r="U53" s="227"/>
      <c r="V53" s="227">
        <v>3</v>
      </c>
      <c r="W53" s="227">
        <v>8</v>
      </c>
      <c r="X53" s="227">
        <v>40</v>
      </c>
      <c r="Y53" s="227">
        <v>0</v>
      </c>
    </row>
    <row r="54" spans="1:26" x14ac:dyDescent="0.45">
      <c r="A54">
        <v>2026</v>
      </c>
      <c r="B54" t="s">
        <v>70</v>
      </c>
      <c r="C54" s="230">
        <v>46098</v>
      </c>
      <c r="D54" s="230">
        <v>46101</v>
      </c>
      <c r="E54" t="s">
        <v>50</v>
      </c>
      <c r="G54" t="s">
        <v>41</v>
      </c>
      <c r="H54" s="234">
        <v>1000</v>
      </c>
      <c r="I54" s="227">
        <v>35</v>
      </c>
      <c r="J54" s="227"/>
      <c r="K54" s="227"/>
      <c r="L54" s="227"/>
      <c r="M54" s="227">
        <v>1</v>
      </c>
      <c r="N54" s="227"/>
      <c r="O54" s="227"/>
      <c r="P54" s="227"/>
      <c r="Q54" s="227"/>
      <c r="R54" s="227"/>
      <c r="S54" s="227"/>
      <c r="T54" s="227"/>
      <c r="U54" s="227"/>
      <c r="V54" s="227">
        <v>2</v>
      </c>
      <c r="W54" s="227">
        <v>4</v>
      </c>
      <c r="X54" s="227">
        <v>58</v>
      </c>
      <c r="Y54" s="227">
        <v>0</v>
      </c>
    </row>
    <row r="55" spans="1:26" x14ac:dyDescent="0.45">
      <c r="A55">
        <v>2026</v>
      </c>
      <c r="B55" t="s">
        <v>70</v>
      </c>
      <c r="C55" s="230">
        <v>46104</v>
      </c>
      <c r="D55" s="230">
        <v>46105</v>
      </c>
      <c r="E55" t="s">
        <v>40</v>
      </c>
      <c r="G55" t="s">
        <v>41</v>
      </c>
      <c r="H55" s="234">
        <v>1000</v>
      </c>
      <c r="I55" s="227">
        <v>47</v>
      </c>
      <c r="J55" s="227"/>
      <c r="K55" s="227"/>
      <c r="L55" s="227"/>
      <c r="M55" s="227">
        <v>2</v>
      </c>
      <c r="N55" s="227"/>
      <c r="O55" s="227"/>
      <c r="P55" s="227"/>
      <c r="Q55" s="227"/>
      <c r="R55" s="227"/>
      <c r="S55" s="227"/>
      <c r="T55" s="227"/>
      <c r="U55" s="227"/>
      <c r="V55" s="227">
        <v>2</v>
      </c>
      <c r="W55" s="227">
        <v>5</v>
      </c>
      <c r="X55" s="227">
        <v>44</v>
      </c>
      <c r="Y55" s="227">
        <v>0</v>
      </c>
    </row>
    <row r="56" spans="1:26" x14ac:dyDescent="0.45">
      <c r="A56">
        <v>2026</v>
      </c>
      <c r="B56" t="s">
        <v>70</v>
      </c>
      <c r="C56" s="230">
        <v>46104</v>
      </c>
      <c r="D56" s="230">
        <v>46105</v>
      </c>
      <c r="E56" t="s">
        <v>40</v>
      </c>
      <c r="G56" t="s">
        <v>41</v>
      </c>
      <c r="H56" s="234">
        <v>1000</v>
      </c>
      <c r="I56" s="227">
        <v>46</v>
      </c>
      <c r="J56" s="227"/>
      <c r="K56" s="227"/>
      <c r="L56" s="227"/>
      <c r="M56" s="227">
        <v>3</v>
      </c>
      <c r="N56" s="227"/>
      <c r="O56" s="227"/>
      <c r="P56" s="227"/>
      <c r="Q56" s="227"/>
      <c r="R56" s="227"/>
      <c r="S56" s="227"/>
      <c r="T56" s="227"/>
      <c r="U56" s="227"/>
      <c r="V56" s="227">
        <v>3</v>
      </c>
      <c r="W56" s="227">
        <v>8</v>
      </c>
      <c r="X56" s="227">
        <v>40</v>
      </c>
      <c r="Y56" s="227">
        <v>0</v>
      </c>
    </row>
    <row r="57" spans="1:26" x14ac:dyDescent="0.45">
      <c r="A57">
        <v>2026</v>
      </c>
      <c r="B57" t="s">
        <v>70</v>
      </c>
      <c r="C57" s="230">
        <v>46104</v>
      </c>
      <c r="D57" s="230">
        <v>46107</v>
      </c>
      <c r="E57" t="s">
        <v>141</v>
      </c>
      <c r="G57" t="s">
        <v>41</v>
      </c>
      <c r="H57" s="234">
        <v>1000</v>
      </c>
      <c r="I57" s="227">
        <v>40</v>
      </c>
      <c r="J57" s="227"/>
      <c r="K57" s="227"/>
      <c r="L57" s="227"/>
      <c r="M57" s="227">
        <v>2</v>
      </c>
      <c r="N57" s="227"/>
      <c r="O57" s="227"/>
      <c r="P57" s="227"/>
      <c r="Q57" s="227"/>
      <c r="R57" s="227"/>
      <c r="S57" s="227"/>
      <c r="T57" s="227"/>
      <c r="U57" s="227"/>
      <c r="V57" s="227">
        <v>4</v>
      </c>
      <c r="W57" s="227">
        <v>5</v>
      </c>
      <c r="X57" s="227">
        <v>49</v>
      </c>
      <c r="Y57" s="227">
        <v>0</v>
      </c>
    </row>
    <row r="58" spans="1:26" x14ac:dyDescent="0.45">
      <c r="A58">
        <v>2026</v>
      </c>
      <c r="B58" t="s">
        <v>70</v>
      </c>
      <c r="C58" s="230">
        <v>46105</v>
      </c>
      <c r="D58" s="230">
        <v>46109</v>
      </c>
      <c r="E58" t="s">
        <v>54</v>
      </c>
      <c r="G58" t="s">
        <v>159</v>
      </c>
      <c r="H58" s="234">
        <v>1000</v>
      </c>
      <c r="I58" s="227">
        <v>38</v>
      </c>
      <c r="J58" s="227"/>
      <c r="K58" s="227"/>
      <c r="L58" s="227"/>
      <c r="M58" s="227">
        <v>3</v>
      </c>
      <c r="N58" s="227"/>
      <c r="O58" s="227"/>
      <c r="P58" s="227"/>
      <c r="Q58" s="227"/>
      <c r="R58" s="227"/>
      <c r="S58" s="227"/>
      <c r="T58" s="227"/>
      <c r="U58" s="227"/>
      <c r="V58" s="227">
        <v>3</v>
      </c>
      <c r="W58" s="227">
        <v>5</v>
      </c>
      <c r="X58" s="227">
        <v>51</v>
      </c>
      <c r="Y58" s="227">
        <v>0</v>
      </c>
    </row>
    <row r="59" spans="1:26" x14ac:dyDescent="0.45">
      <c r="A59">
        <v>2026</v>
      </c>
      <c r="B59" t="s">
        <v>70</v>
      </c>
      <c r="C59" s="230">
        <v>46107</v>
      </c>
      <c r="D59" s="230">
        <v>46108</v>
      </c>
      <c r="E59" t="s">
        <v>40</v>
      </c>
      <c r="G59" t="s">
        <v>41</v>
      </c>
      <c r="H59" s="234">
        <v>1000</v>
      </c>
      <c r="I59" s="227">
        <v>46</v>
      </c>
      <c r="J59" s="227"/>
      <c r="K59" s="227"/>
      <c r="L59" s="227"/>
      <c r="M59" s="227">
        <v>5</v>
      </c>
      <c r="N59" s="227"/>
      <c r="O59" s="227"/>
      <c r="P59" s="227"/>
      <c r="Q59" s="227"/>
      <c r="R59" s="227"/>
      <c r="S59" s="227"/>
      <c r="T59" s="227"/>
      <c r="U59" s="227"/>
      <c r="V59" s="227">
        <v>2</v>
      </c>
      <c r="W59" s="227">
        <v>6</v>
      </c>
      <c r="X59" s="227">
        <v>41</v>
      </c>
      <c r="Y59" s="227">
        <v>0</v>
      </c>
    </row>
    <row r="60" spans="1:26" x14ac:dyDescent="0.45">
      <c r="A60">
        <v>2026</v>
      </c>
      <c r="B60" t="s">
        <v>70</v>
      </c>
      <c r="C60" s="230">
        <v>46108</v>
      </c>
      <c r="D60" s="230">
        <v>46111</v>
      </c>
      <c r="E60" t="s">
        <v>74</v>
      </c>
      <c r="G60" t="s">
        <v>41</v>
      </c>
      <c r="H60" s="234">
        <v>1002</v>
      </c>
      <c r="I60" s="227">
        <v>35</v>
      </c>
      <c r="J60" s="227"/>
      <c r="K60" s="227"/>
      <c r="L60" s="227"/>
      <c r="M60" s="227">
        <v>3</v>
      </c>
      <c r="N60" s="227"/>
      <c r="O60" s="227"/>
      <c r="P60" s="227"/>
      <c r="Q60" s="227"/>
      <c r="R60" s="227"/>
      <c r="S60" s="227"/>
      <c r="T60" s="227"/>
      <c r="U60" s="227"/>
      <c r="V60" s="227">
        <v>3</v>
      </c>
      <c r="W60" s="227">
        <v>5</v>
      </c>
      <c r="X60" s="227">
        <v>41</v>
      </c>
      <c r="Y60" s="227"/>
    </row>
    <row r="61" spans="1:26" x14ac:dyDescent="0.45">
      <c r="A61">
        <v>2026</v>
      </c>
      <c r="B61" t="s">
        <v>70</v>
      </c>
      <c r="C61" s="230">
        <v>46108</v>
      </c>
      <c r="D61" s="230">
        <v>46111</v>
      </c>
      <c r="E61" t="s">
        <v>74</v>
      </c>
      <c r="G61" t="s">
        <v>41</v>
      </c>
      <c r="H61" s="234">
        <v>1002</v>
      </c>
      <c r="I61" s="227">
        <v>40</v>
      </c>
      <c r="J61" s="227"/>
      <c r="K61" s="227"/>
      <c r="L61" s="227"/>
      <c r="M61" s="227">
        <v>3</v>
      </c>
      <c r="N61" s="227"/>
      <c r="O61" s="227"/>
      <c r="P61" s="227"/>
      <c r="Q61" s="227"/>
      <c r="R61" s="227"/>
      <c r="S61" s="227"/>
      <c r="T61" s="227"/>
      <c r="U61" s="227"/>
      <c r="V61" s="227">
        <v>3</v>
      </c>
      <c r="W61" s="227">
        <v>6</v>
      </c>
      <c r="X61" s="227">
        <v>49</v>
      </c>
      <c r="Y61" s="227"/>
    </row>
    <row r="62" spans="1:26" x14ac:dyDescent="0.45">
      <c r="A62">
        <v>2026</v>
      </c>
      <c r="B62" t="s">
        <v>70</v>
      </c>
      <c r="C62" s="230">
        <v>46109</v>
      </c>
      <c r="D62" s="230">
        <v>46110</v>
      </c>
      <c r="E62" t="s">
        <v>138</v>
      </c>
      <c r="G62" t="s">
        <v>41</v>
      </c>
      <c r="H62" s="234">
        <v>1000</v>
      </c>
      <c r="I62" s="227">
        <v>50</v>
      </c>
      <c r="J62" s="227"/>
      <c r="K62" s="227"/>
      <c r="L62" s="227"/>
      <c r="M62" s="227">
        <v>2</v>
      </c>
      <c r="N62" s="227"/>
      <c r="O62" s="227"/>
      <c r="P62" s="227"/>
      <c r="Q62" s="227"/>
      <c r="R62" s="227"/>
      <c r="S62" s="227"/>
      <c r="T62" s="227"/>
      <c r="U62" s="227"/>
      <c r="V62" s="227">
        <v>1</v>
      </c>
      <c r="W62" s="227">
        <v>5</v>
      </c>
      <c r="X62" s="227">
        <v>42</v>
      </c>
      <c r="Y62" s="227"/>
    </row>
    <row r="63" spans="1:26" x14ac:dyDescent="0.45">
      <c r="A63">
        <v>2026</v>
      </c>
      <c r="B63" t="s">
        <v>70</v>
      </c>
      <c r="C63" s="230">
        <v>46110</v>
      </c>
      <c r="D63" s="230">
        <v>46116</v>
      </c>
      <c r="E63" t="s">
        <v>88</v>
      </c>
      <c r="G63" t="s">
        <v>89</v>
      </c>
      <c r="H63" s="234">
        <v>1500</v>
      </c>
      <c r="I63" s="227">
        <v>37</v>
      </c>
      <c r="J63" s="227">
        <v>0</v>
      </c>
      <c r="K63" s="227">
        <v>0</v>
      </c>
      <c r="L63" s="227">
        <v>0</v>
      </c>
      <c r="M63" s="227">
        <v>4</v>
      </c>
      <c r="N63" s="227"/>
      <c r="O63" s="227">
        <v>0</v>
      </c>
      <c r="P63" s="227">
        <v>0</v>
      </c>
      <c r="Q63" s="227"/>
      <c r="R63" s="227"/>
      <c r="S63" s="227">
        <v>0</v>
      </c>
      <c r="T63" s="227">
        <v>0</v>
      </c>
      <c r="U63" s="227"/>
      <c r="V63" s="227">
        <v>2</v>
      </c>
      <c r="W63" s="227">
        <v>5</v>
      </c>
      <c r="X63" s="227">
        <v>50</v>
      </c>
      <c r="Y63" s="227">
        <v>2</v>
      </c>
    </row>
    <row r="64" spans="1:26" x14ac:dyDescent="0.45">
      <c r="A64">
        <v>2026</v>
      </c>
      <c r="B64" t="s">
        <v>70</v>
      </c>
      <c r="C64" s="230">
        <v>46112</v>
      </c>
      <c r="D64" s="230">
        <v>46116</v>
      </c>
      <c r="E64" t="s">
        <v>84</v>
      </c>
      <c r="G64" t="s">
        <v>41</v>
      </c>
      <c r="H64" s="234">
        <v>1000</v>
      </c>
      <c r="I64" s="227">
        <v>40</v>
      </c>
      <c r="J64" s="227"/>
      <c r="K64" s="227"/>
      <c r="L64" s="227"/>
      <c r="M64" s="227">
        <v>1</v>
      </c>
      <c r="N64" s="227"/>
      <c r="O64" s="227"/>
      <c r="P64" s="227"/>
      <c r="Q64" s="227"/>
      <c r="R64" s="227"/>
      <c r="S64" s="227"/>
      <c r="T64" s="227"/>
      <c r="U64" s="227"/>
      <c r="V64" s="227">
        <v>4</v>
      </c>
      <c r="W64" s="227">
        <v>4</v>
      </c>
      <c r="X64" s="227">
        <v>51</v>
      </c>
      <c r="Y64" s="227">
        <v>0</v>
      </c>
    </row>
  </sheetData>
  <autoFilter ref="A1:Z56" xr:uid="{714EB581-320A-40BB-A8E2-DB9582E626C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Lilla Polgár</dc:creator>
  <cp:lastModifiedBy>Polgár Lilla Szilvia</cp:lastModifiedBy>
  <dcterms:created xsi:type="dcterms:W3CDTF">2015-06-05T18:17:20Z</dcterms:created>
  <dcterms:modified xsi:type="dcterms:W3CDTF">2026-04-10T13:32:25Z</dcterms:modified>
</cp:coreProperties>
</file>