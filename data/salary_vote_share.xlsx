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olga\Documents\repos\SDS-Hungarian-Election-Forecasting-2026-Thesis\data\"/>
    </mc:Choice>
  </mc:AlternateContent>
  <xr:revisionPtr revIDLastSave="0" documentId="13_ncr:1_{FA15DB9C-8BF1-43AC-84EC-9F08147A31C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3" l="1"/>
  <c r="C10" i="3"/>
  <c r="C6" i="3"/>
  <c r="C14" i="3"/>
  <c r="C18" i="3"/>
  <c r="C22" i="3"/>
  <c r="C30" i="3"/>
  <c r="C26" i="3"/>
  <c r="C34" i="3"/>
</calcChain>
</file>

<file path=xl/sharedStrings.xml><?xml version="1.0" encoding="utf-8"?>
<sst xmlns="http://schemas.openxmlformats.org/spreadsheetml/2006/main" count="34" uniqueCount="17">
  <si>
    <t>Type</t>
  </si>
  <si>
    <t>Hivatalban lévő kormány listás választási eredménye</t>
  </si>
  <si>
    <t>Nettó Reálkeresti Index Elmúlt Négy Évben</t>
  </si>
  <si>
    <t>Év</t>
  </si>
  <si>
    <t>Source</t>
  </si>
  <si>
    <t>https://www.ksh.hu/stadat_files/mun/hu/mun0191.html</t>
  </si>
  <si>
    <t>https://www.ksh.hu/gyorstajekoztatok/ker/ker2601.html#:~:text=A%20brutt%C3%B3%20kereset%20medi%C3%A1n%C3%A9rt%C3%A9ke%20598%20700%2C%20a,%C3%A9rt%20el%2C%2011%2C0%2C%20illetve%2012%2C5%25%2Dkal%20magasabb%20%C3%A9rt%C3%A9ket</t>
  </si>
  <si>
    <t>Előző ciklus párt</t>
  </si>
  <si>
    <t>Fidesz</t>
  </si>
  <si>
    <t>MSZP</t>
  </si>
  <si>
    <t>Lista</t>
  </si>
  <si>
    <t>Pártlista</t>
  </si>
  <si>
    <t>Területi lista</t>
  </si>
  <si>
    <t>Évi átlag</t>
  </si>
  <si>
    <t>Január</t>
  </si>
  <si>
    <t>Governing_party_list</t>
  </si>
  <si>
    <t>Net_Real_Salary_Index_4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</si>
</sst>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3" borderId="0" xfId="0" applyFill="1"/>
    <xf numFmtId="2" fontId="0" fillId="3" borderId="0" xfId="0" applyNumberFormat="1" applyFill="1"/>
    <xf numFmtId="2" fontId="0" fillId="2" borderId="0" xfId="0" applyNumberFormat="1" applyFill="1"/>
    <xf numFmtId="2" fontId="0" fillId="0" borderId="0" xfId="1" applyNumberFormat="1" applyFont="1"/>
    <xf numFmtId="0" fontId="0" fillId="4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Nettó reáljövedelem-növekedés és a kormány listás választási eredménye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Governing_party_list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120F16C-90C8-4965-9E98-1649A0D5B12A}" type="CELLRANGE">
                      <a:rPr lang="en-US"/>
                      <a:pPr/>
                      <a:t>[CELLRANGE]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F52-4BA0-80C6-87F7DDD531C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72719BC-F703-4D07-BEF1-8105915D739B}" type="CELLRANGE">
                      <a:rPr lang="hu-HU"/>
                      <a:pPr/>
                      <a:t>[CELLRANGE]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F52-4BA0-80C6-87F7DDD531C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22852AC-F990-4BE1-B665-EA5B56EF1614}" type="CELLRANGE">
                      <a:rPr lang="hu-HU"/>
                      <a:pPr/>
                      <a:t>[CELLRANGE]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F52-4BA0-80C6-87F7DDD531C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400BF98-72F7-4264-B7F4-572AC0EB5188}" type="CELLRANGE">
                      <a:rPr lang="hu-HU"/>
                      <a:pPr/>
                      <a:t>[CELLRANGE]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F52-4BA0-80C6-87F7DDD531C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8EF5AB5-FBD1-4124-A48E-5D0816FAB85E}" type="CELLRANGE">
                      <a:rPr lang="hu-HU"/>
                      <a:pPr/>
                      <a:t>[CELLRANGE]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F52-4BA0-80C6-87F7DDD531C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58E8C89-2E24-4370-A2D1-6E1B928A9FC0}" type="CELLRANGE">
                      <a:rPr lang="hu-HU"/>
                      <a:pPr/>
                      <a:t>[CELLRANGE]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F52-4BA0-80C6-87F7DDD531C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F52-4BA0-80C6-87F7DDD531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Data!$C$2:$C$8</c:f>
              <c:numCache>
                <c:formatCode>0.00</c:formatCode>
                <c:ptCount val="7"/>
                <c:pt idx="0">
                  <c:v>0.14000000000000001</c:v>
                </c:pt>
                <c:pt idx="1">
                  <c:v>0.28000000000000058</c:v>
                </c:pt>
                <c:pt idx="2">
                  <c:v>-2.5000000000000001E-2</c:v>
                </c:pt>
                <c:pt idx="3">
                  <c:v>3.8999999999999771E-2</c:v>
                </c:pt>
                <c:pt idx="4">
                  <c:v>0.25300000000000011</c:v>
                </c:pt>
                <c:pt idx="5">
                  <c:v>0.255</c:v>
                </c:pt>
                <c:pt idx="6">
                  <c:v>0.13900000000000001</c:v>
                </c:pt>
              </c:numCache>
            </c:numRef>
          </c:xVal>
          <c:yVal>
            <c:numRef>
              <c:f>Data!$D$2:$D$8</c:f>
              <c:numCache>
                <c:formatCode>0.00</c:formatCode>
                <c:ptCount val="7"/>
                <c:pt idx="0">
                  <c:v>0.47850000000000004</c:v>
                </c:pt>
                <c:pt idx="1">
                  <c:v>0.48630000000000001</c:v>
                </c:pt>
                <c:pt idx="2">
                  <c:v>0.19170000000000001</c:v>
                </c:pt>
                <c:pt idx="3">
                  <c:v>0.4355</c:v>
                </c:pt>
                <c:pt idx="4">
                  <c:v>0.49270000000000003</c:v>
                </c:pt>
                <c:pt idx="5">
                  <c:v>0.5413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Data!$A$2:$A$8</c15:f>
                <c15:dlblRangeCache>
                  <c:ptCount val="7"/>
                  <c:pt idx="0">
                    <c:v>2002</c:v>
                  </c:pt>
                  <c:pt idx="1">
                    <c:v>2006</c:v>
                  </c:pt>
                  <c:pt idx="2">
                    <c:v>2010</c:v>
                  </c:pt>
                  <c:pt idx="3">
                    <c:v>2014</c:v>
                  </c:pt>
                  <c:pt idx="4">
                    <c:v>2018</c:v>
                  </c:pt>
                  <c:pt idx="5">
                    <c:v>2022</c:v>
                  </c:pt>
                  <c:pt idx="6">
                    <c:v>2026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3F52-4BA0-80C6-87F7DDD53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2664271"/>
        <c:axId val="1792664751"/>
      </c:scatterChart>
      <c:valAx>
        <c:axId val="1792664271"/>
        <c:scaling>
          <c:orientation val="minMax"/>
          <c:max val="0.30000000000000004"/>
          <c:min val="-0.1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92664751"/>
        <c:crosses val="autoZero"/>
        <c:crossBetween val="midCat"/>
        <c:majorUnit val="0.1"/>
      </c:valAx>
      <c:valAx>
        <c:axId val="1792664751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92664271"/>
        <c:crosses val="autoZero"/>
        <c:crossBetween val="midCat"/>
        <c:majorUnit val="0.1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13</xdr:col>
      <xdr:colOff>319052</xdr:colOff>
      <xdr:row>19</xdr:row>
      <xdr:rowOff>148906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9BACC2-65F8-42C5-AEAD-D69B9D12B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81" workbookViewId="0">
      <selection activeCell="M6" sqref="M6"/>
    </sheetView>
  </sheetViews>
  <sheetFormatPr defaultRowHeight="14.25" x14ac:dyDescent="0.45"/>
  <sheetData>
    <row r="1" spans="1:6" x14ac:dyDescent="0.45">
      <c r="A1" t="s">
        <v>3</v>
      </c>
      <c r="B1" t="s">
        <v>0</v>
      </c>
      <c r="C1" t="s">
        <v>16</v>
      </c>
      <c r="D1" t="s">
        <v>15</v>
      </c>
      <c r="E1" t="s">
        <v>7</v>
      </c>
      <c r="F1" t="s">
        <v>10</v>
      </c>
    </row>
    <row r="2" spans="1:6" x14ac:dyDescent="0.45">
      <c r="A2">
        <v>2002</v>
      </c>
      <c r="B2" t="s">
        <v>13</v>
      </c>
      <c r="C2" s="6">
        <v>0.14000000000000001</v>
      </c>
      <c r="D2" s="6">
        <v>0.47850000000000004</v>
      </c>
      <c r="E2" t="s">
        <v>8</v>
      </c>
      <c r="F2" t="s">
        <v>12</v>
      </c>
    </row>
    <row r="3" spans="1:6" x14ac:dyDescent="0.45">
      <c r="A3">
        <v>2006</v>
      </c>
      <c r="B3" t="s">
        <v>13</v>
      </c>
      <c r="C3" s="6">
        <v>0.28000000000000058</v>
      </c>
      <c r="D3" s="6">
        <v>0.48630000000000001</v>
      </c>
      <c r="E3" t="s">
        <v>9</v>
      </c>
      <c r="F3" t="s">
        <v>12</v>
      </c>
    </row>
    <row r="4" spans="1:6" x14ac:dyDescent="0.45">
      <c r="A4">
        <v>2010</v>
      </c>
      <c r="B4" t="s">
        <v>13</v>
      </c>
      <c r="C4" s="6">
        <v>-2.5000000000000001E-2</v>
      </c>
      <c r="D4" s="6">
        <v>0.19170000000000001</v>
      </c>
      <c r="E4" t="s">
        <v>9</v>
      </c>
      <c r="F4" t="s">
        <v>12</v>
      </c>
    </row>
    <row r="5" spans="1:6" x14ac:dyDescent="0.45">
      <c r="A5">
        <v>2014</v>
      </c>
      <c r="B5" t="s">
        <v>13</v>
      </c>
      <c r="C5" s="6">
        <v>3.8999999999999771E-2</v>
      </c>
      <c r="D5" s="6">
        <v>0.4355</v>
      </c>
      <c r="E5" t="s">
        <v>8</v>
      </c>
      <c r="F5" t="s">
        <v>11</v>
      </c>
    </row>
    <row r="6" spans="1:6" x14ac:dyDescent="0.45">
      <c r="A6">
        <v>2018</v>
      </c>
      <c r="B6" t="s">
        <v>13</v>
      </c>
      <c r="C6" s="6">
        <v>0.25300000000000011</v>
      </c>
      <c r="D6" s="6">
        <v>0.49270000000000003</v>
      </c>
      <c r="E6" t="s">
        <v>8</v>
      </c>
      <c r="F6" t="s">
        <v>11</v>
      </c>
    </row>
    <row r="7" spans="1:6" x14ac:dyDescent="0.45">
      <c r="A7">
        <v>2022</v>
      </c>
      <c r="B7" t="s">
        <v>13</v>
      </c>
      <c r="C7" s="6">
        <v>0.255</v>
      </c>
      <c r="D7" s="6">
        <v>0.5413</v>
      </c>
      <c r="E7" t="s">
        <v>8</v>
      </c>
      <c r="F7" t="s">
        <v>11</v>
      </c>
    </row>
    <row r="8" spans="1:6" x14ac:dyDescent="0.45">
      <c r="A8">
        <v>2026</v>
      </c>
      <c r="B8" t="s">
        <v>14</v>
      </c>
      <c r="C8" s="6">
        <v>0.13900000000000001</v>
      </c>
      <c r="D8" s="6"/>
      <c r="E8" t="s">
        <v>8</v>
      </c>
      <c r="F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7636-7EA6-4FAE-9F0D-F48DBEB999E0}">
  <dimension ref="A1:F42"/>
  <sheetViews>
    <sheetView topLeftCell="A13" zoomScale="72" zoomScaleNormal="115" workbookViewId="0">
      <selection activeCell="C38" sqref="C38"/>
    </sheetView>
  </sheetViews>
  <sheetFormatPr defaultRowHeight="14.25" x14ac:dyDescent="0.45"/>
  <cols>
    <col min="3" max="3" width="11.73046875" bestFit="1" customWidth="1"/>
  </cols>
  <sheetData>
    <row r="1" spans="1:3" x14ac:dyDescent="0.45">
      <c r="A1" t="s">
        <v>3</v>
      </c>
      <c r="B1" t="s">
        <v>2</v>
      </c>
    </row>
    <row r="2" spans="1:3" x14ac:dyDescent="0.45">
      <c r="A2" s="3">
        <v>1990</v>
      </c>
      <c r="B2" s="7"/>
    </row>
    <row r="3" spans="1:3" x14ac:dyDescent="0.45">
      <c r="A3" s="3">
        <v>1991</v>
      </c>
      <c r="B3" s="7"/>
    </row>
    <row r="4" spans="1:3" x14ac:dyDescent="0.45">
      <c r="A4" s="3">
        <v>1992</v>
      </c>
      <c r="B4">
        <v>98.6</v>
      </c>
    </row>
    <row r="5" spans="1:3" x14ac:dyDescent="0.45">
      <c r="A5" s="3">
        <v>1993</v>
      </c>
      <c r="B5">
        <v>96.1</v>
      </c>
    </row>
    <row r="6" spans="1:3" x14ac:dyDescent="0.45">
      <c r="A6" s="2">
        <v>1994</v>
      </c>
      <c r="B6">
        <v>107.2</v>
      </c>
      <c r="C6" s="4">
        <f>B2+B3+B4+B5-(2*100)</f>
        <v>-5.3000000000000114</v>
      </c>
    </row>
    <row r="7" spans="1:3" x14ac:dyDescent="0.45">
      <c r="A7" s="2">
        <v>1995</v>
      </c>
      <c r="B7">
        <v>87.8</v>
      </c>
    </row>
    <row r="8" spans="1:3" x14ac:dyDescent="0.45">
      <c r="A8" s="2">
        <v>1996</v>
      </c>
      <c r="B8">
        <v>95</v>
      </c>
    </row>
    <row r="9" spans="1:3" x14ac:dyDescent="0.45">
      <c r="A9" s="2">
        <v>1997</v>
      </c>
      <c r="B9">
        <v>104.9</v>
      </c>
    </row>
    <row r="10" spans="1:3" x14ac:dyDescent="0.45">
      <c r="A10" s="3">
        <v>1998</v>
      </c>
      <c r="B10">
        <v>103.6</v>
      </c>
      <c r="C10" s="5">
        <f>B6+B7+B8+B9-(4*100)</f>
        <v>-5.1000000000000227</v>
      </c>
    </row>
    <row r="11" spans="1:3" x14ac:dyDescent="0.45">
      <c r="A11" s="3">
        <v>1999</v>
      </c>
      <c r="B11">
        <v>102.5</v>
      </c>
    </row>
    <row r="12" spans="1:3" x14ac:dyDescent="0.45">
      <c r="A12" s="3">
        <v>2000</v>
      </c>
      <c r="B12">
        <v>101.5</v>
      </c>
    </row>
    <row r="13" spans="1:3" x14ac:dyDescent="0.45">
      <c r="A13" s="3">
        <v>2001</v>
      </c>
      <c r="B13">
        <v>106.4</v>
      </c>
    </row>
    <row r="14" spans="1:3" x14ac:dyDescent="0.45">
      <c r="A14" s="2">
        <v>2002</v>
      </c>
      <c r="B14">
        <v>113.6</v>
      </c>
      <c r="C14" s="4">
        <f>B10+B11+B12+B13-(4*100)</f>
        <v>14</v>
      </c>
    </row>
    <row r="15" spans="1:3" x14ac:dyDescent="0.45">
      <c r="A15" s="2">
        <v>2003</v>
      </c>
      <c r="B15">
        <v>109.2</v>
      </c>
      <c r="C15" s="1"/>
    </row>
    <row r="16" spans="1:3" x14ac:dyDescent="0.45">
      <c r="A16" s="2">
        <v>2004</v>
      </c>
      <c r="B16">
        <v>98.9</v>
      </c>
      <c r="C16" s="1"/>
    </row>
    <row r="17" spans="1:6" x14ac:dyDescent="0.45">
      <c r="A17" s="2">
        <v>2005</v>
      </c>
      <c r="B17">
        <v>106.3</v>
      </c>
      <c r="C17" s="1"/>
    </row>
    <row r="18" spans="1:6" x14ac:dyDescent="0.45">
      <c r="A18" s="3">
        <v>2006</v>
      </c>
      <c r="B18">
        <v>103.6</v>
      </c>
      <c r="C18" s="5">
        <f>B14+B15+B16+B17-(4*100)</f>
        <v>28.000000000000057</v>
      </c>
    </row>
    <row r="19" spans="1:6" x14ac:dyDescent="0.45">
      <c r="A19" s="3">
        <v>2007</v>
      </c>
      <c r="B19">
        <v>95.4</v>
      </c>
      <c r="C19" s="1"/>
    </row>
    <row r="20" spans="1:6" x14ac:dyDescent="0.45">
      <c r="A20" s="3">
        <v>2008</v>
      </c>
      <c r="B20">
        <v>100.8</v>
      </c>
      <c r="C20" s="1"/>
    </row>
    <row r="21" spans="1:6" x14ac:dyDescent="0.45">
      <c r="A21" s="3">
        <v>2009</v>
      </c>
      <c r="B21">
        <v>97.7</v>
      </c>
      <c r="C21" s="1"/>
    </row>
    <row r="22" spans="1:6" x14ac:dyDescent="0.45">
      <c r="A22" s="2">
        <v>2010</v>
      </c>
      <c r="B22">
        <v>101.8</v>
      </c>
      <c r="C22" s="4">
        <f>B18+B19+B20+B21-(4*100)</f>
        <v>-2.5</v>
      </c>
    </row>
    <row r="23" spans="1:6" x14ac:dyDescent="0.45">
      <c r="A23" s="2">
        <v>2011</v>
      </c>
      <c r="B23">
        <v>102.4</v>
      </c>
      <c r="C23" s="1"/>
      <c r="F23" t="s">
        <v>2</v>
      </c>
    </row>
    <row r="24" spans="1:6" x14ac:dyDescent="0.45">
      <c r="A24" s="2">
        <v>2012</v>
      </c>
      <c r="B24">
        <v>96.6</v>
      </c>
      <c r="C24" s="1"/>
      <c r="F24" t="s">
        <v>1</v>
      </c>
    </row>
    <row r="25" spans="1:6" x14ac:dyDescent="0.45">
      <c r="A25" s="2">
        <v>2013</v>
      </c>
      <c r="B25">
        <v>103.1</v>
      </c>
      <c r="C25" s="1"/>
    </row>
    <row r="26" spans="1:6" x14ac:dyDescent="0.45">
      <c r="A26" s="3">
        <v>2014</v>
      </c>
      <c r="B26">
        <v>103.2</v>
      </c>
      <c r="C26" s="5">
        <f>B22+B23+B24+B25-(4*100)</f>
        <v>3.8999999999999773</v>
      </c>
    </row>
    <row r="27" spans="1:6" x14ac:dyDescent="0.45">
      <c r="A27" s="3">
        <v>2015</v>
      </c>
      <c r="B27">
        <v>104.4</v>
      </c>
      <c r="C27" s="1"/>
    </row>
    <row r="28" spans="1:6" x14ac:dyDescent="0.45">
      <c r="A28" s="3">
        <v>2016</v>
      </c>
      <c r="B28">
        <v>107.4</v>
      </c>
      <c r="C28" s="1"/>
    </row>
    <row r="29" spans="1:6" x14ac:dyDescent="0.45">
      <c r="A29" s="3">
        <v>2017</v>
      </c>
      <c r="B29">
        <v>110.3</v>
      </c>
      <c r="C29" s="1"/>
    </row>
    <row r="30" spans="1:6" x14ac:dyDescent="0.45">
      <c r="A30" s="2">
        <v>2018</v>
      </c>
      <c r="B30">
        <v>108.3</v>
      </c>
      <c r="C30" s="4">
        <f>B26+B27+B28+B29-(4*100)</f>
        <v>25.300000000000011</v>
      </c>
    </row>
    <row r="31" spans="1:6" x14ac:dyDescent="0.45">
      <c r="A31" s="2">
        <v>2019</v>
      </c>
      <c r="B31">
        <v>108.4</v>
      </c>
      <c r="C31" s="1"/>
    </row>
    <row r="32" spans="1:6" x14ac:dyDescent="0.45">
      <c r="A32" s="2">
        <v>2020</v>
      </c>
      <c r="B32">
        <v>105.7</v>
      </c>
      <c r="C32" s="1"/>
    </row>
    <row r="33" spans="1:3" x14ac:dyDescent="0.45">
      <c r="A33" s="2">
        <v>2021</v>
      </c>
      <c r="B33">
        <v>103.1</v>
      </c>
      <c r="C33" s="1"/>
    </row>
    <row r="34" spans="1:3" x14ac:dyDescent="0.45">
      <c r="A34" s="3">
        <v>2022</v>
      </c>
      <c r="B34">
        <v>103.2</v>
      </c>
      <c r="C34" s="5">
        <f>B30+B31+B32+B33-(4*100)</f>
        <v>25.5</v>
      </c>
    </row>
    <row r="35" spans="1:3" x14ac:dyDescent="0.45">
      <c r="A35" s="3">
        <v>2023</v>
      </c>
      <c r="B35">
        <v>96.9</v>
      </c>
      <c r="C35" s="1"/>
    </row>
    <row r="36" spans="1:3" x14ac:dyDescent="0.45">
      <c r="A36" s="3">
        <v>2024</v>
      </c>
      <c r="B36">
        <v>109</v>
      </c>
      <c r="C36" s="1"/>
    </row>
    <row r="37" spans="1:3" x14ac:dyDescent="0.45">
      <c r="A37" s="3">
        <v>2025</v>
      </c>
      <c r="B37">
        <v>104.8</v>
      </c>
      <c r="C37" s="1"/>
    </row>
    <row r="38" spans="1:3" x14ac:dyDescent="0.45">
      <c r="A38" s="2">
        <v>2026</v>
      </c>
      <c r="B38">
        <v>125.4</v>
      </c>
      <c r="C38" s="4">
        <f>B34+B35+B36+B37-(4*100)</f>
        <v>13.900000000000034</v>
      </c>
    </row>
    <row r="41" spans="1:3" x14ac:dyDescent="0.45">
      <c r="A41" t="s">
        <v>4</v>
      </c>
      <c r="B41" t="s">
        <v>5</v>
      </c>
    </row>
    <row r="42" spans="1:3" x14ac:dyDescent="0.45">
      <c r="B42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Lilla Polgár</dc:creator>
  <cp:lastModifiedBy>Polgár Lilla Szilvia</cp:lastModifiedBy>
  <dcterms:created xsi:type="dcterms:W3CDTF">2015-06-05T18:17:20Z</dcterms:created>
  <dcterms:modified xsi:type="dcterms:W3CDTF">2026-04-09T10:12:43Z</dcterms:modified>
</cp:coreProperties>
</file>